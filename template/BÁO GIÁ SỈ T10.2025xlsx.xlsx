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d181d4fca78fc0/Documents/AI_Automation/Dự án nệm/"/>
    </mc:Choice>
  </mc:AlternateContent>
  <xr:revisionPtr revIDLastSave="2" documentId="13_ncr:1_{436115E9-89A1-2D4D-9F5D-37986C7B6FF0}" xr6:coauthVersionLast="47" xr6:coauthVersionMax="47" xr10:uidLastSave="{931894E4-2DF3-4355-B2F8-5D1132E7DE5A}"/>
  <bookViews>
    <workbookView xWindow="-108" yWindow="-108" windowWidth="23256" windowHeight="12456" activeTab="8" xr2:uid="{00000000-000D-0000-FFFF-FFFF00000000}"/>
  </bookViews>
  <sheets>
    <sheet name="T200" sheetId="13" r:id="rId1"/>
    <sheet name="T250" sheetId="2" r:id="rId2"/>
    <sheet name="T300" sheetId="12" r:id="rId3"/>
    <sheet name="T350" sheetId="8" r:id="rId4"/>
    <sheet name="Phụ kiện KS" sheetId="14" r:id="rId5"/>
    <sheet name="Tấm trải" sheetId="9" r:id="rId6"/>
    <sheet name="Ga tròn" sheetId="10" r:id="rId7"/>
    <sheet name="Tấm trang trí" sheetId="11" r:id="rId8"/>
    <sheet name="Bình dầu gội" sheetId="4" r:id="rId9"/>
    <sheet name="Tici" sheetId="5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2" i="14" l="1"/>
  <c r="E121" i="14"/>
  <c r="F73" i="14"/>
  <c r="E73" i="14"/>
  <c r="F72" i="14"/>
  <c r="F71" i="14"/>
  <c r="E71" i="14"/>
  <c r="F70" i="14"/>
  <c r="E70" i="14"/>
  <c r="F69" i="14"/>
  <c r="E69" i="14"/>
  <c r="F68" i="14"/>
  <c r="E68" i="14"/>
  <c r="F67" i="14"/>
  <c r="E67" i="14"/>
  <c r="F66" i="14"/>
  <c r="E66" i="14"/>
  <c r="F64" i="14"/>
  <c r="E64" i="14"/>
  <c r="F63" i="14"/>
  <c r="E63" i="14"/>
  <c r="F62" i="14"/>
  <c r="E62" i="14"/>
  <c r="F61" i="14"/>
  <c r="E61" i="14"/>
  <c r="F60" i="14"/>
  <c r="E60" i="14"/>
  <c r="E40" i="12"/>
  <c r="L15" i="9"/>
  <c r="L14" i="9"/>
  <c r="L13" i="9"/>
  <c r="L12" i="9"/>
  <c r="L10" i="9"/>
  <c r="L9" i="9"/>
  <c r="L8" i="9"/>
  <c r="L6" i="9"/>
  <c r="L5" i="9"/>
  <c r="L4" i="9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10" i="8"/>
</calcChain>
</file>

<file path=xl/sharedStrings.xml><?xml version="1.0" encoding="utf-8"?>
<sst xmlns="http://schemas.openxmlformats.org/spreadsheetml/2006/main" count="1413" uniqueCount="934">
  <si>
    <t>STT</t>
  </si>
  <si>
    <t xml:space="preserve">TÊN SẢN PHẨM </t>
  </si>
  <si>
    <t>MÃ SẢN PHẨM</t>
  </si>
  <si>
    <t>ĐVT</t>
  </si>
  <si>
    <t>GIÁ KHÁCH SẠN</t>
  </si>
  <si>
    <t>RS1102</t>
  </si>
  <si>
    <t>Cái</t>
  </si>
  <si>
    <t>RS1122</t>
  </si>
  <si>
    <t>RS1142</t>
  </si>
  <si>
    <t>RS1162</t>
  </si>
  <si>
    <t>RS1182</t>
  </si>
  <si>
    <t>RS1222</t>
  </si>
  <si>
    <t>RS1103</t>
  </si>
  <si>
    <t>RS1123</t>
  </si>
  <si>
    <t>RS1143</t>
  </si>
  <si>
    <t>RS1163</t>
  </si>
  <si>
    <t>RS1183</t>
  </si>
  <si>
    <t>RS1223</t>
  </si>
  <si>
    <t>RS1104</t>
  </si>
  <si>
    <t>RS1124</t>
  </si>
  <si>
    <t>RS1144</t>
  </si>
  <si>
    <t>RS1164</t>
  </si>
  <si>
    <t>RS1184</t>
  </si>
  <si>
    <t>RS1224</t>
  </si>
  <si>
    <t>RS1VC1620</t>
  </si>
  <si>
    <t>RS1VC1820</t>
  </si>
  <si>
    <t>RS1VC2220</t>
  </si>
  <si>
    <t>RS1VC2224</t>
  </si>
  <si>
    <t>RS1VC2424</t>
  </si>
  <si>
    <t>RS1VG68</t>
  </si>
  <si>
    <t>RS1VG57</t>
  </si>
  <si>
    <t>RS1VG46</t>
  </si>
  <si>
    <t>RS1VG35</t>
  </si>
  <si>
    <t>RT1102</t>
  </si>
  <si>
    <t>RT1122</t>
  </si>
  <si>
    <t>RT1142</t>
  </si>
  <si>
    <t>RT1162</t>
  </si>
  <si>
    <t>RT1182</t>
  </si>
  <si>
    <t>RT1222</t>
  </si>
  <si>
    <t>RT1103</t>
  </si>
  <si>
    <t>RT1123</t>
  </si>
  <si>
    <t>RT1143</t>
  </si>
  <si>
    <t>RT1163</t>
  </si>
  <si>
    <t>RT1183</t>
  </si>
  <si>
    <t>RT1223</t>
  </si>
  <si>
    <t>RT1104</t>
  </si>
  <si>
    <t>RT1124</t>
  </si>
  <si>
    <t>RT1144</t>
  </si>
  <si>
    <t>RT1164</t>
  </si>
  <si>
    <t>RT1184</t>
  </si>
  <si>
    <t>RT1224</t>
  </si>
  <si>
    <t>RT1VC1620</t>
  </si>
  <si>
    <t>RT1VC1820</t>
  </si>
  <si>
    <t>RT1VC2220</t>
  </si>
  <si>
    <t>RT1VC2224</t>
  </si>
  <si>
    <t>RT1VC2424</t>
  </si>
  <si>
    <t>RT1VG68</t>
  </si>
  <si>
    <t>RT1VG57</t>
  </si>
  <si>
    <t>RT1VG46</t>
  </si>
  <si>
    <t>RT1VG35</t>
  </si>
  <si>
    <t>Chăn trắng sọc chần bông 1.8mx2m</t>
  </si>
  <si>
    <t>CTSCB1820</t>
  </si>
  <si>
    <t>Chăn trắng sọc chần bông 2.2mx2m</t>
  </si>
  <si>
    <t>CTSCB2220</t>
  </si>
  <si>
    <t>CTSCB2224</t>
  </si>
  <si>
    <t>Chăn trắng trơn chần bông 1.8mx2m</t>
  </si>
  <si>
    <t>CTTCB1820</t>
  </si>
  <si>
    <t>Chăn trắng trơn chần bông 2.2mx2m</t>
  </si>
  <si>
    <t>CTTCB2220</t>
  </si>
  <si>
    <t>CTTCB2224</t>
  </si>
  <si>
    <t>RUỘT CHĂN</t>
  </si>
  <si>
    <t>RCH1620</t>
  </si>
  <si>
    <t>RCH1820</t>
  </si>
  <si>
    <t>RCH2220</t>
  </si>
  <si>
    <t>RCH2224</t>
  </si>
  <si>
    <t>RCH2424</t>
  </si>
  <si>
    <t>Ruột chăn mỏng Kate 1.6mx2m</t>
  </si>
  <si>
    <t>RCHKT1620</t>
  </si>
  <si>
    <t>Ruột chăn mỏng Kate 1.8mx2m</t>
  </si>
  <si>
    <t>RCHKT1820</t>
  </si>
  <si>
    <t>Ruột chăn mỏng Kate 2.2mx2m</t>
  </si>
  <si>
    <t>RCHKT2220</t>
  </si>
  <si>
    <t>Ruột chăn mỏng Kate 2.2mx2m4</t>
  </si>
  <si>
    <t>RCHKT2224</t>
  </si>
  <si>
    <t>RMP1620</t>
  </si>
  <si>
    <t>RMP1820</t>
  </si>
  <si>
    <t>RMP2220</t>
  </si>
  <si>
    <t>RMP2224</t>
  </si>
  <si>
    <t>Topper làm mềm nệm 1m hàng A</t>
  </si>
  <si>
    <t>TPHA10</t>
  </si>
  <si>
    <t>Topper làm mềm nệm 1.2m hàng A</t>
  </si>
  <si>
    <t>TPHA12</t>
  </si>
  <si>
    <t>Topper làm mềm nệm 1.4m hàng A</t>
  </si>
  <si>
    <t>TPHA14</t>
  </si>
  <si>
    <t>Topper làm mềm nệm 1.6m hàng A</t>
  </si>
  <si>
    <t>TPHA16</t>
  </si>
  <si>
    <t>Topper làm mềm nệm 1.8m hàng A</t>
  </si>
  <si>
    <t>TPHA18</t>
  </si>
  <si>
    <t>Topper làm mềm nệm 2.2m hàng A</t>
  </si>
  <si>
    <t>TPHA22</t>
  </si>
  <si>
    <t>BẢO VỆ NỆM</t>
  </si>
  <si>
    <t>Bảo vệ nệm kate 1mx2m</t>
  </si>
  <si>
    <t>BVN10</t>
  </si>
  <si>
    <t>Bảo vệ nệm kate 1.2mx2m</t>
  </si>
  <si>
    <t>BVN12</t>
  </si>
  <si>
    <t>Bảo vệ nệm kate 1.4mx2m</t>
  </si>
  <si>
    <t>BVN14</t>
  </si>
  <si>
    <t>Bảo vệ nệm kate 1.6mx2m</t>
  </si>
  <si>
    <t>BVN16</t>
  </si>
  <si>
    <t>Bảo vệ nệm kate 1.8mx2m</t>
  </si>
  <si>
    <t>BVN18</t>
  </si>
  <si>
    <t>Bảo vệ nệm kate 2.2mx2m</t>
  </si>
  <si>
    <t>BVN22</t>
  </si>
  <si>
    <t>BVNCT10</t>
  </si>
  <si>
    <t>BVNCT12</t>
  </si>
  <si>
    <t>BVNCT14</t>
  </si>
  <si>
    <t>BVNCT16</t>
  </si>
  <si>
    <t>BVNCT18</t>
  </si>
  <si>
    <t>BVNCT22</t>
  </si>
  <si>
    <t>Bảo vệ nệm chống thấm 1m</t>
  </si>
  <si>
    <t>BVNCN10</t>
  </si>
  <si>
    <t>Bảo vệ nệm chống thấm 1.2m</t>
  </si>
  <si>
    <t>BVNCN12</t>
  </si>
  <si>
    <t>Bảo vệ nệm chống thấm 1.4m</t>
  </si>
  <si>
    <t>BVNCN14</t>
  </si>
  <si>
    <t xml:space="preserve">Bảo vệ nệm chống thấm 1.6m </t>
  </si>
  <si>
    <t>BVNCN16</t>
  </si>
  <si>
    <t>Bảo vệ nệm chống thấm 1.8m</t>
  </si>
  <si>
    <t>BVNCN18</t>
  </si>
  <si>
    <t>BVNCN22</t>
  </si>
  <si>
    <t>GA CHỐNG THẤM</t>
  </si>
  <si>
    <t>Ga chống thấm 1mx2m 2T</t>
  </si>
  <si>
    <t>GCT102</t>
  </si>
  <si>
    <t>Ga chống thấm 1m2x2m 2T</t>
  </si>
  <si>
    <t>GCT122</t>
  </si>
  <si>
    <t>Ga chống thấm 1m4x2m 2T</t>
  </si>
  <si>
    <t>GCT142</t>
  </si>
  <si>
    <t>Ga chống thấm 1m6x2m 2T</t>
  </si>
  <si>
    <t>GCT162</t>
  </si>
  <si>
    <t>Ga chống thấm 1m8x2m 2T</t>
  </si>
  <si>
    <t>GCT182</t>
  </si>
  <si>
    <t>Ga chống thấm 2.2x2m 2T</t>
  </si>
  <si>
    <t>GCT222</t>
  </si>
  <si>
    <t>Ga chống thấm 1mx2m 3T</t>
  </si>
  <si>
    <t>GCT103</t>
  </si>
  <si>
    <t>Ga chống thấm 1m2x2m 3T</t>
  </si>
  <si>
    <t>GCT123</t>
  </si>
  <si>
    <t>Ga chống thấm 1m4x2m 3T</t>
  </si>
  <si>
    <t>GCT143</t>
  </si>
  <si>
    <t>Ga chống thấm 1m6x2m 3T</t>
  </si>
  <si>
    <t>GCT163</t>
  </si>
  <si>
    <t>Ga chống thấm 1m8x2m 3T</t>
  </si>
  <si>
    <t>GCT183</t>
  </si>
  <si>
    <t>Ga chống thấm 2.2x2m 3T</t>
  </si>
  <si>
    <t>GCT223</t>
  </si>
  <si>
    <t>Vỏ gối chống thấm 50x70</t>
  </si>
  <si>
    <t>VGCT57</t>
  </si>
  <si>
    <t>Vỏ gối chống thấm 40x60</t>
  </si>
  <si>
    <t>VGCT46</t>
  </si>
  <si>
    <t>Vỏ gối ôm chống thấm</t>
  </si>
  <si>
    <t>VGCTO</t>
  </si>
  <si>
    <t>KHĂN</t>
  </si>
  <si>
    <t>KM60</t>
  </si>
  <si>
    <t>KM100</t>
  </si>
  <si>
    <t>Khăn tắm 70x140 400g Rio</t>
  </si>
  <si>
    <t>KT500</t>
  </si>
  <si>
    <t>THẢM CHÂN</t>
  </si>
  <si>
    <t>Thảm chân 45x65cm loại 260g trắng</t>
  </si>
  <si>
    <t>TC260T</t>
  </si>
  <si>
    <t>Thảm chân 45x65cm loại 260g màu</t>
  </si>
  <si>
    <t>TC260M</t>
  </si>
  <si>
    <t>ÁO CHOÀNG</t>
  </si>
  <si>
    <t>Áo choàng tắm size L</t>
  </si>
  <si>
    <t>ACTL</t>
  </si>
  <si>
    <t>Áo choàng tắm Size XL</t>
  </si>
  <si>
    <t>ACTXL</t>
  </si>
  <si>
    <t>RUỘT GỐI</t>
  </si>
  <si>
    <t>RGVK46</t>
  </si>
  <si>
    <t>RGVK57</t>
  </si>
  <si>
    <t>RGVK45</t>
  </si>
  <si>
    <t>RGVK100</t>
  </si>
  <si>
    <t>RGAT46</t>
  </si>
  <si>
    <t>RGAT57</t>
  </si>
  <si>
    <t>RGAT100</t>
  </si>
  <si>
    <t>BÀN CHẢI</t>
  </si>
  <si>
    <t>Bàn chải 23 kem xanh</t>
  </si>
  <si>
    <t>BC23KX</t>
  </si>
  <si>
    <t>Bàn chải 23 không kem</t>
  </si>
  <si>
    <t>BC23</t>
  </si>
  <si>
    <t>Bàn chải trong 38 kem đỏ cước mềm</t>
  </si>
  <si>
    <t>BC38KD</t>
  </si>
  <si>
    <t>Bàn chải trong 38 không kem cước mềm</t>
  </si>
  <si>
    <t>BC38</t>
  </si>
  <si>
    <t>Bàn chải 23 kem xanh bao hoa</t>
  </si>
  <si>
    <t>BC23XBH</t>
  </si>
  <si>
    <t>ĐỒ DÙNG 1 LẦN</t>
  </si>
  <si>
    <t>Lược trắng</t>
  </si>
  <si>
    <t>LKS</t>
  </si>
  <si>
    <t>Lược bi trắng bao nhôm</t>
  </si>
  <si>
    <t>LBKSBN</t>
  </si>
  <si>
    <t>Chụp tóc</t>
  </si>
  <si>
    <t>CTKS</t>
  </si>
  <si>
    <t>Chụp tóc bao nhôm</t>
  </si>
  <si>
    <t>CTKSBN</t>
  </si>
  <si>
    <t>Xà phòng cục (5g)</t>
  </si>
  <si>
    <t>XPC5</t>
  </si>
  <si>
    <t>Xà phòng cục (10g)</t>
  </si>
  <si>
    <t>XPC10</t>
  </si>
  <si>
    <t>DCRK</t>
  </si>
  <si>
    <t>Giấy niêm bồn cầu</t>
  </si>
  <si>
    <t>GNBC</t>
  </si>
  <si>
    <t>TBKS</t>
  </si>
  <si>
    <t>Bao cao su Young Love (Hộp 144c)</t>
  </si>
  <si>
    <t>BCSYL</t>
  </si>
  <si>
    <t>Hộp</t>
  </si>
  <si>
    <t>Dầu gội</t>
  </si>
  <si>
    <t>DGKS</t>
  </si>
  <si>
    <t>Gói</t>
  </si>
  <si>
    <t>Sữa tắm</t>
  </si>
  <si>
    <t>STKS</t>
  </si>
  <si>
    <t>DÉP</t>
  </si>
  <si>
    <t>Đôi</t>
  </si>
  <si>
    <t>Dép xốp quay ngang</t>
  </si>
  <si>
    <t>DXQN</t>
  </si>
  <si>
    <t>Xịt Phòng</t>
  </si>
  <si>
    <t>Xịt phòng SAKE</t>
  </si>
  <si>
    <t>XPSK</t>
  </si>
  <si>
    <t>Chai</t>
  </si>
  <si>
    <t>Xịt phòng OSHIDO</t>
  </si>
  <si>
    <t>XPOS</t>
  </si>
  <si>
    <t xml:space="preserve">Dép xốp xỏ ngón </t>
  </si>
  <si>
    <t>DXXN</t>
  </si>
  <si>
    <r>
      <rPr>
        <b/>
        <sz val="12"/>
        <color theme="1"/>
        <rFont val="Times New Roman"/>
        <family val="2"/>
      </rPr>
      <t xml:space="preserve">CÔNG TY TNHH TM – DV RIOTECH  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
</t>
    </r>
    <r>
      <rPr>
        <b/>
        <sz val="12"/>
        <color theme="1"/>
        <rFont val="Times New Roman"/>
        <family val="2"/>
      </rPr>
      <t xml:space="preserve"> Địa chỉ CTY: 37 Đường DC5 Phường Sơn Kỳ Quận Tân Phú
 Xưởng SX: 618 Lê Trọng Tấn, P.Bình Hưng Hòa, Quận Bình Tân, Tphcm                                                                                                                    
Điện thoại: 0936.515.082   Mail: riotechco@gmail.com      
Web: Riotex.com.vn</t>
    </r>
  </si>
  <si>
    <t>BẢNG BÁO GIÁ KHÁCH SẠN</t>
  </si>
  <si>
    <t>Ga trắng sọc  S1 1.0m 2T</t>
  </si>
  <si>
    <t>Ga trắng sọc  S1 1.2m 2T</t>
  </si>
  <si>
    <t>Ga trắng sọc  S1 1.4m 2T</t>
  </si>
  <si>
    <t>Ga trắng sọc  S1 1.6m 2T</t>
  </si>
  <si>
    <t>Ga trắng sọc S1 1.8m 2T</t>
  </si>
  <si>
    <t>Ga trắng sọc S1 2.2m 2T</t>
  </si>
  <si>
    <t>Ga trắng sọc  S1 1.0m 3T</t>
  </si>
  <si>
    <t>Ga trắng sọc  S1 1.2m 3T</t>
  </si>
  <si>
    <t>Ga trắng sọc S1 1.4m 3T</t>
  </si>
  <si>
    <t>Ga trắng sọc  S1 1.6m 3T</t>
  </si>
  <si>
    <t>Ga trắng sọc  S1 1.8m 3T</t>
  </si>
  <si>
    <t>Ga trắng sọc  S1 2.2m 3T</t>
  </si>
  <si>
    <t>Ga trắng sọc  S1 1.0m 4T</t>
  </si>
  <si>
    <t>Ga trắng sọc  S1 1.2m 4T</t>
  </si>
  <si>
    <t>Ga trắng sọc S1 1.4m 4T</t>
  </si>
  <si>
    <t>Ga trắng sọc  S1 1.6m 4T</t>
  </si>
  <si>
    <t>Ga trắng sọc  S1 1.8m 4T</t>
  </si>
  <si>
    <t>Ga trắng sọc  S1 2.2m 4T</t>
  </si>
  <si>
    <t>Vỏ chăn trắng sọc S1 1.6mx2m</t>
  </si>
  <si>
    <t>Vỏ chăn sọc sọc S1 1.8mx2m</t>
  </si>
  <si>
    <t>Vỏ chăn sọc S1 2.2mx2m</t>
  </si>
  <si>
    <t>Vỏ gối trắng sọc S1 60x80</t>
  </si>
  <si>
    <t>Vỏ gối trắng sọc S1 50x70</t>
  </si>
  <si>
    <t>Vỏ gối trắng sọc S1 40x60</t>
  </si>
  <si>
    <t>Vỏ gối ôm trắng sọc S1</t>
  </si>
  <si>
    <t>Ga trắng trơn  T1 1.0m 2T</t>
  </si>
  <si>
    <t>Ga trắng trơn  T1 1.2m 2T</t>
  </si>
  <si>
    <t>Ga trắng trơn  T1 1.4m 2T</t>
  </si>
  <si>
    <t>Ga trắng trơn  T1 1.6m 2T</t>
  </si>
  <si>
    <t>Ga trắng trơn  T1 1.8m 2T</t>
  </si>
  <si>
    <t>Ga trắng trơn  T1 2.2m 2T</t>
  </si>
  <si>
    <t>Ga trắng trơn  T1 1.0m 3T</t>
  </si>
  <si>
    <t>Ga trắng trơn  T1 1.2m 3T</t>
  </si>
  <si>
    <t>Ga trắng trơn  T1 1.4m 3T</t>
  </si>
  <si>
    <t>Ga trắng trơn  T1 1.6m 3T</t>
  </si>
  <si>
    <t>Ga trắng trơn  T1 1.8m 3T</t>
  </si>
  <si>
    <t>Ga trắng trơn  T1 2.2m 3T</t>
  </si>
  <si>
    <t>Ga trắng trơn  T1 1.0m 4T</t>
  </si>
  <si>
    <t>Ga trắng trơn  T1 1.2m 4T</t>
  </si>
  <si>
    <t>Ga trắng trơn  T1 1.4m 4T</t>
  </si>
  <si>
    <t>Ga trắng trơn  T1 1.6m 4T</t>
  </si>
  <si>
    <t>Ga trắng trơn  T1 1.8m 4T</t>
  </si>
  <si>
    <t>Ga trắng trơn  T1 2.2m 4T</t>
  </si>
  <si>
    <t>Vỏ chăn trắng trơn T1 1.6mx2m</t>
  </si>
  <si>
    <t>Vỏ chăn trắng trơn T1 1.8mx2m</t>
  </si>
  <si>
    <t>Vỏ chăn trắng trơn T1 2.2mx2m</t>
  </si>
  <si>
    <t>Vỏ gối trắng trơn T1 60x80</t>
  </si>
  <si>
    <t>Vỏ gối trắng trơn T1 50x70</t>
  </si>
  <si>
    <t>Vỏ gối trắng trơn T1 40x60</t>
  </si>
  <si>
    <t>Vỏ gối ôm trắng trơn T1</t>
  </si>
  <si>
    <t>Khăn tắm 70x140 500g Rio</t>
  </si>
  <si>
    <t>Bàn chải trong 38 kem đỏ cước mềm bao nhôm</t>
  </si>
  <si>
    <t>BC38KDBN</t>
  </si>
  <si>
    <t>Chăn trắng sọc chần bông 1.6mx2m</t>
  </si>
  <si>
    <t>CTSCB1620</t>
  </si>
  <si>
    <t>Chăn trắng trơn chần bông 1.6mx2m</t>
  </si>
  <si>
    <t>CTTCB1620</t>
  </si>
  <si>
    <t>Bộ</t>
  </si>
  <si>
    <t>BÌNH ĐỰNG DẦU GỘI SỮA TẮM</t>
  </si>
  <si>
    <t>Bình đựng DG_ST gốm sứ dáng tròn 180ml</t>
  </si>
  <si>
    <t>Bình đựng DG_ST gốm sứ dáng vuông 240ml</t>
  </si>
  <si>
    <t>Binhtrong180</t>
  </si>
  <si>
    <t>Binhvuong240</t>
  </si>
  <si>
    <t>GIÁ SỈ</t>
  </si>
  <si>
    <t>Lưu ý: Có in sẵn chứ Dầu gội - Sữa tắm</t>
  </si>
  <si>
    <t>Đơn từ 30 cái miễn phí in tên logo khách sạn</t>
  </si>
  <si>
    <t>Tên SP</t>
  </si>
  <si>
    <t>Mã SP</t>
  </si>
  <si>
    <t>Giá bán cửa hàng</t>
  </si>
  <si>
    <t>Giá sỉ</t>
  </si>
  <si>
    <t>Bộ 3 món TICI 1 màu 2T (Ga+ 2 vỏ gối)</t>
  </si>
  <si>
    <t>TC3.2</t>
  </si>
  <si>
    <t>Bộ 4 món TICI 1 màu 2T (Ga+2 vỏ gối+vỏ chăn 2.2m)</t>
  </si>
  <si>
    <t>TC4.2</t>
  </si>
  <si>
    <t>Bộ 5 món TICI 1 màu 2T (Ga+2 vỏ gối+vỏ chăn 2.2m+vỏ ôm)</t>
  </si>
  <si>
    <t>TC5.2</t>
  </si>
  <si>
    <t>Bộ 3 món TICI 1 màu 3T (Ga+ 2 vỏ gối)</t>
  </si>
  <si>
    <t>TC3.3</t>
  </si>
  <si>
    <t>Bộ 4 món TICI 1 màu 3T (Ga+2 vỏ gối+vỏ chăn 2.2m)</t>
  </si>
  <si>
    <t>TC4.3</t>
  </si>
  <si>
    <t>Bộ 5 món TICI 1 màu 3T (Ga+2 vỏ gối+vỏ chăn 2.2m+vỏ ôm)</t>
  </si>
  <si>
    <t>TC5.3</t>
  </si>
  <si>
    <t>Áo nệm TICI  màu 1m</t>
  </si>
  <si>
    <t>Ao1mTC</t>
  </si>
  <si>
    <t>Áo nệm TICI  màu 1m2</t>
  </si>
  <si>
    <t>Ao12TC</t>
  </si>
  <si>
    <t>Áo nệm TICI  màu 1m4</t>
  </si>
  <si>
    <t>Ao14TC</t>
  </si>
  <si>
    <t>Áo nệm TICI màu 1m6</t>
  </si>
  <si>
    <t>Ao16TC</t>
  </si>
  <si>
    <t>Áo nệm TICI màu 1m8</t>
  </si>
  <si>
    <t>Ao18TC</t>
  </si>
  <si>
    <t>Áo nệm TICI màu 2m2</t>
  </si>
  <si>
    <t>Ao22TC</t>
  </si>
  <si>
    <t>Ga màu TICI 2T</t>
  </si>
  <si>
    <t>Ga màu TICI 3T</t>
  </si>
  <si>
    <t>Vỏ gối 50x70 TICI</t>
  </si>
  <si>
    <t>Vỏ gối ôm màu TICI</t>
  </si>
  <si>
    <t>cÁI</t>
  </si>
  <si>
    <t>1. Bộ ga 1 màu đồng giá cho các size (Trừ size 2.2m tăng 30k/cái). 2T là dành cho nệm 5-15cm, 3T là dành cho nệm 17-25cm</t>
  </si>
  <si>
    <t>RS.102</t>
  </si>
  <si>
    <t>RS.122</t>
  </si>
  <si>
    <t>RS.142</t>
  </si>
  <si>
    <t>RS.162</t>
  </si>
  <si>
    <t>RS.182</t>
  </si>
  <si>
    <t>RS.222</t>
  </si>
  <si>
    <t>RS.103</t>
  </si>
  <si>
    <t>RS.123</t>
  </si>
  <si>
    <t>RS.143</t>
  </si>
  <si>
    <t>RS.163</t>
  </si>
  <si>
    <t>RS.183</t>
  </si>
  <si>
    <t>RS.223</t>
  </si>
  <si>
    <t>RS.104</t>
  </si>
  <si>
    <t>RS.124</t>
  </si>
  <si>
    <t>RS.144</t>
  </si>
  <si>
    <t>RS.164</t>
  </si>
  <si>
    <t>RS.184</t>
  </si>
  <si>
    <t>RS.224</t>
  </si>
  <si>
    <t>RS.VC1620</t>
  </si>
  <si>
    <t>RS.VC1820</t>
  </si>
  <si>
    <t>RS.VC2220</t>
  </si>
  <si>
    <t>RS.VC2224</t>
  </si>
  <si>
    <t>RS.VC2424</t>
  </si>
  <si>
    <t>RS.VG68</t>
  </si>
  <si>
    <t>RS.VG57</t>
  </si>
  <si>
    <t>RS.VG46</t>
  </si>
  <si>
    <t>RS.VG35</t>
  </si>
  <si>
    <t>Khăn mặt  35x75 100g Rio</t>
  </si>
  <si>
    <t>Khăn tắm 60x120 300g Rio</t>
  </si>
  <si>
    <t>Khăn tay 30x30 50g Rio</t>
  </si>
  <si>
    <t>KT300</t>
  </si>
  <si>
    <t>KT400</t>
  </si>
  <si>
    <r>
      <rPr>
        <b/>
        <sz val="13"/>
        <color theme="1"/>
        <rFont val="Times New Roman"/>
        <family val="2"/>
      </rPr>
      <t xml:space="preserve">CÔNG TY TNHH TM – DV RIOTECH    </t>
    </r>
    <r>
      <rPr>
        <sz val="13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
</t>
    </r>
    <r>
      <rPr>
        <b/>
        <sz val="13"/>
        <color theme="1"/>
        <rFont val="Times New Roman"/>
        <family val="2"/>
      </rPr>
      <t xml:space="preserve"> Xưởng SX: 618 Lê Trọng Tấn, P.Bình Hưng Hòa, Quận Bình Tân, Tphcm                                                                                                                    
Điện thoại: 0936.515.082 Tuyền</t>
    </r>
  </si>
  <si>
    <t>Ga trắng sọc  S2 1.0m 2T</t>
  </si>
  <si>
    <t>RS2102</t>
  </si>
  <si>
    <t>Ga trắng sọc  S2 1.2m 2T</t>
  </si>
  <si>
    <t>RS2122</t>
  </si>
  <si>
    <t>Ga trắng sọc  S2 1.4m 2T</t>
  </si>
  <si>
    <t>RS2142</t>
  </si>
  <si>
    <t>Ga trắng sọc  S2 1.6m 2T</t>
  </si>
  <si>
    <t>RS2162</t>
  </si>
  <si>
    <t>Ga trắng sọc S2 1.8m 2T</t>
  </si>
  <si>
    <t>RS2182</t>
  </si>
  <si>
    <t>Ga trắng sọc S2 2.2m 2T</t>
  </si>
  <si>
    <t>RS2222</t>
  </si>
  <si>
    <t>Ga trắng sọc  S2 1.0m 3T</t>
  </si>
  <si>
    <t>RS2103</t>
  </si>
  <si>
    <t>Ga trắng sọc  S2 1.2m 3T</t>
  </si>
  <si>
    <t>RS2123</t>
  </si>
  <si>
    <t>Ga trắng sọc S2 1.4m 3T</t>
  </si>
  <si>
    <t>RS2143</t>
  </si>
  <si>
    <t>Ga trắng sọc  S2 1.6m 3T</t>
  </si>
  <si>
    <t>RS2163</t>
  </si>
  <si>
    <t>Ga trắng sọc  S2 1.8m 3T</t>
  </si>
  <si>
    <t>RS2183</t>
  </si>
  <si>
    <t>Ga trắng sọc  S2 2.2m 3T</t>
  </si>
  <si>
    <t>RS2223</t>
  </si>
  <si>
    <t>Ga trắng sọc  S2 1.0m 4T</t>
  </si>
  <si>
    <t>RS2104</t>
  </si>
  <si>
    <t>Ga trắng sọc  S2 1.2m 4T</t>
  </si>
  <si>
    <t>RS2124</t>
  </si>
  <si>
    <t>Ga trắng sọc S2 1.4m 4T</t>
  </si>
  <si>
    <t>RS2144</t>
  </si>
  <si>
    <t>Ga trắng sọc  S2 1.6m 4T</t>
  </si>
  <si>
    <t>RS2164</t>
  </si>
  <si>
    <t>Ga trắng sọc  S2 1.8m 4T</t>
  </si>
  <si>
    <t>RS2184</t>
  </si>
  <si>
    <t>Ga trắng sọc  S2 2.2m 4T</t>
  </si>
  <si>
    <t>RS2224</t>
  </si>
  <si>
    <t>VỎ CHĂN TRẮNG SỌC S2</t>
  </si>
  <si>
    <t>Vỏ chăn trắng sọc S2 1.6mx2m</t>
  </si>
  <si>
    <t>RS2VC1620</t>
  </si>
  <si>
    <t>Vỏ chăn sọc sọc S2 1.8mx2m</t>
  </si>
  <si>
    <t>RS2VC1820</t>
  </si>
  <si>
    <t>Vỏ chăn sọc S2 2.2mx2m</t>
  </si>
  <si>
    <t>RS2VC2220</t>
  </si>
  <si>
    <t>Vỏ chăn sọc S2 2.2mx2m4</t>
  </si>
  <si>
    <t>RS2VC2224</t>
  </si>
  <si>
    <t>Vỏ chăn sọc S2 2.4mx2m4</t>
  </si>
  <si>
    <t>RS2VC2424</t>
  </si>
  <si>
    <t>VỎ GỐI TRẮNG SỌC S2</t>
  </si>
  <si>
    <t>Vỏ gối trắng sọc S2 60x80</t>
  </si>
  <si>
    <t>RS2VG68</t>
  </si>
  <si>
    <t>Vỏ gối trắng sọc S2 50x70</t>
  </si>
  <si>
    <t>RS2VG57</t>
  </si>
  <si>
    <t>Vỏ gối trắng sọc S2 40x60</t>
  </si>
  <si>
    <t>RS2VG46</t>
  </si>
  <si>
    <t>Vỏ gối ôm trắng sọc S2</t>
  </si>
  <si>
    <t>RS2VG35</t>
  </si>
  <si>
    <t>GA TRẮNG TRƠN T2</t>
  </si>
  <si>
    <t>Ga trắng trơn  T2 1.0m 2T</t>
  </si>
  <si>
    <t>RT2102</t>
  </si>
  <si>
    <t>Ga trắng trơn  T2 1.2m 2T</t>
  </si>
  <si>
    <t>RT2122</t>
  </si>
  <si>
    <t>Ga trắng trơn  T2 1.4m 2T</t>
  </si>
  <si>
    <t>RT2142</t>
  </si>
  <si>
    <t>Ga trắng trơn  T2 1.6m 2T</t>
  </si>
  <si>
    <t>RT2162</t>
  </si>
  <si>
    <t>Ga trắng trơn  T2 1.8m 2T</t>
  </si>
  <si>
    <t>RT2182</t>
  </si>
  <si>
    <t>Ga trắng trơn  T2 2.2m 2T</t>
  </si>
  <si>
    <t>RT2222</t>
  </si>
  <si>
    <t>Ga trắng trơn  T2 1.0m 3T</t>
  </si>
  <si>
    <t>RT2103</t>
  </si>
  <si>
    <t>Ga trắng trơn  T2 1.2m 3T</t>
  </si>
  <si>
    <t>RT2123</t>
  </si>
  <si>
    <t>Ga trắng trơn  T2 1.4m 3T</t>
  </si>
  <si>
    <t>RT2143</t>
  </si>
  <si>
    <t>Ga trắng trơn  T2 1.6m 3T</t>
  </si>
  <si>
    <t>RT2163</t>
  </si>
  <si>
    <t>Ga trắng trơn  T2 1.8m 3T</t>
  </si>
  <si>
    <t>RT2183</t>
  </si>
  <si>
    <t>Ga trắng trơn  T2 2.2m 3T</t>
  </si>
  <si>
    <t>RT2223</t>
  </si>
  <si>
    <t>Ga trắng trơn  T2 1.0m 4T</t>
  </si>
  <si>
    <t>RT2104</t>
  </si>
  <si>
    <t>Ga trắng trơn  T2 1.2m 4T</t>
  </si>
  <si>
    <t>RT2124</t>
  </si>
  <si>
    <t>Ga trắng trơn  T2 1.4m 4T</t>
  </si>
  <si>
    <t>RT2144</t>
  </si>
  <si>
    <t>Ga trắng trơn  T2 1.6m 4T</t>
  </si>
  <si>
    <t>RT2164</t>
  </si>
  <si>
    <t>Ga trắng trơn  T2 1.8m 4T</t>
  </si>
  <si>
    <t>RT2184</t>
  </si>
  <si>
    <t>Ga trắng trơn  T2 2.2m 4T</t>
  </si>
  <si>
    <t>RT2224</t>
  </si>
  <si>
    <t>VỎ CHĂN TRẮNG TRƠN T2</t>
  </si>
  <si>
    <t>Vỏ chăn trắng trơn T2 1.6mx2m</t>
  </si>
  <si>
    <t>RT2VC1620</t>
  </si>
  <si>
    <t>Vỏ chăn trắng trơn T2 1.8mx2m</t>
  </si>
  <si>
    <t>RT2VC1820</t>
  </si>
  <si>
    <t>Vỏ chăn trắng trơn T2 2.2mx2m</t>
  </si>
  <si>
    <t>RT2VC2220</t>
  </si>
  <si>
    <t>Vỏ chăn trắng trơn T2 2.2mx2m4</t>
  </si>
  <si>
    <t>RT2VC2224</t>
  </si>
  <si>
    <t>Vỏ chăn trắng trơn T2 2.4mx2m4</t>
  </si>
  <si>
    <t>RT2VC2424</t>
  </si>
  <si>
    <t>VỎ GỐI TRẮNG TRƠN T2</t>
  </si>
  <si>
    <t>Vỏ gối trắng trơn T2 60x80</t>
  </si>
  <si>
    <t>RT2VG68</t>
  </si>
  <si>
    <t>Vỏ gối trắng trơn T2 50x70</t>
  </si>
  <si>
    <t>RT2VG57</t>
  </si>
  <si>
    <t>Vỏ gối trắng trơn T2 40x60</t>
  </si>
  <si>
    <t>RT2VG46</t>
  </si>
  <si>
    <t>Vỏ gối ôm trắng trơn T2</t>
  </si>
  <si>
    <t>RT2VG35</t>
  </si>
  <si>
    <t>Tên, nhãn hiệu, quy cách, phẩm chất vật tư</t>
  </si>
  <si>
    <t>Mã số</t>
  </si>
  <si>
    <t>Đơn vị tính</t>
  </si>
  <si>
    <t>Sỉ RS0</t>
  </si>
  <si>
    <t>RS0 Nối 20cm 2 bên</t>
  </si>
  <si>
    <t>RT1</t>
  </si>
  <si>
    <t>Tấm trải sọc 1.8mx2.6m</t>
  </si>
  <si>
    <t>TT1826</t>
  </si>
  <si>
    <t>Tấm trải sọc 2.2mx2.6m</t>
  </si>
  <si>
    <t>TT2126</t>
  </si>
  <si>
    <t>Tấm trải sọc 2.4mx2.6m</t>
  </si>
  <si>
    <t>TT2426</t>
  </si>
  <si>
    <t xml:space="preserve">Tấm trải sọc 2.1mx2.8m </t>
  </si>
  <si>
    <t>TT2128</t>
  </si>
  <si>
    <t>Tấm trải sọc 2.4mx2.8m</t>
  </si>
  <si>
    <t>TT2428</t>
  </si>
  <si>
    <t>Tấm trải sọc 2.6mx2.8m</t>
  </si>
  <si>
    <t>TT2628</t>
  </si>
  <si>
    <t>Tấm trải sọc 2.1mx3m</t>
  </si>
  <si>
    <t>TT2130</t>
  </si>
  <si>
    <t>Tấm trải sọc 2.4mx3m</t>
  </si>
  <si>
    <t>TT2430</t>
  </si>
  <si>
    <t>Tấm trải sọc 2.6mx3m</t>
  </si>
  <si>
    <t>TT2630</t>
  </si>
  <si>
    <t>Tấm trải sọc 2.8mx3m</t>
  </si>
  <si>
    <t>TT2830</t>
  </si>
  <si>
    <t>Cách tính tấm trải: lấy 2 x chiều cao + 40. Rồi cộng cho chiều dài và chiều rộng của nệm.</t>
  </si>
  <si>
    <t>VD: nệm 1.6mx2m cao 20cm.  20x2+40= 80. Vậy tấm trải sẽ là 2.4mx2.8m</t>
  </si>
  <si>
    <t>Giá Sỉ</t>
  </si>
  <si>
    <t>Ga tròn S1 2mx2m 2T</t>
  </si>
  <si>
    <t>Ga tròn S1 2.2mx2.2m 2T</t>
  </si>
  <si>
    <t>Ga tròn S1 2mx2m 3T</t>
  </si>
  <si>
    <t>Ga tròn S1 2.2mx2.2m 3T</t>
  </si>
  <si>
    <t>GA TRÒN SỌC S1</t>
  </si>
  <si>
    <t>RS1GT202</t>
  </si>
  <si>
    <t>RS1GT203</t>
  </si>
  <si>
    <t>RS1GT222</t>
  </si>
  <si>
    <t>RS1GT223</t>
  </si>
  <si>
    <t>Giá KS</t>
  </si>
  <si>
    <t>GA TRÒN TRƠN T1</t>
  </si>
  <si>
    <t>Ga tròn T1 2mx2m 2T</t>
  </si>
  <si>
    <t>Ga tròn T1 2.2mx2.2m 2T</t>
  </si>
  <si>
    <t>Ga tròn T1 2mx2m 3T</t>
  </si>
  <si>
    <t>Ga tròn T1 2.2mx2.2m 3T</t>
  </si>
  <si>
    <t>RT1GT202</t>
  </si>
  <si>
    <t>RT1GT222</t>
  </si>
  <si>
    <t>RT1GT203</t>
  </si>
  <si>
    <t>RT1GT223</t>
  </si>
  <si>
    <t>Ga tròn S1 2.4mx2.4m 2T</t>
  </si>
  <si>
    <t>RS1GT242</t>
  </si>
  <si>
    <t>Ga tròn S1 2.4mx2.4m 3T</t>
  </si>
  <si>
    <t>RS1GT243</t>
  </si>
  <si>
    <t>Ga tròn T1 2.4mx2.4m 2T</t>
  </si>
  <si>
    <t>Ga tròn T1 2.4mx2.4m 3T</t>
  </si>
  <si>
    <t>RT1GT242</t>
  </si>
  <si>
    <t>RT1GT243</t>
  </si>
  <si>
    <t>Giá Sỉ RS1</t>
  </si>
  <si>
    <t>Giá Sỉ RS2</t>
  </si>
  <si>
    <t>Giá Sỉ RS0</t>
  </si>
  <si>
    <t>Khăn hồ bơi 80x180 800g A</t>
  </si>
  <si>
    <t>KT800A</t>
  </si>
  <si>
    <t>Ga chống thấm 1mx2m 2T (lông)</t>
  </si>
  <si>
    <t>Ga chống thấm 1m2x2m 2T (lông)</t>
  </si>
  <si>
    <t>Ga chống thấm 1m4x2m 2T (lông)</t>
  </si>
  <si>
    <t>Ga chống thấm 1m6x2m 2T (lông)</t>
  </si>
  <si>
    <t>Ga chống thấm 1m8x2m 2T (lông)</t>
  </si>
  <si>
    <t>Ga chống thấm 1mx2m 3T (lông)</t>
  </si>
  <si>
    <t>Ga chống thấm 1m8x2m 3T (lông)</t>
  </si>
  <si>
    <t>Vỏ gối ôm chống thấm (lông)</t>
  </si>
  <si>
    <t>Vỏ gối chống thấm 40x60 (lông)</t>
  </si>
  <si>
    <t>Vỏ gối chống thấm 50x70 (lông)</t>
  </si>
  <si>
    <t>Ga chống thấm 2.2x2m 3T (lông)</t>
  </si>
  <si>
    <t>Ga chống thấm 1m4x2m 3T (lông)</t>
  </si>
  <si>
    <t>Ga chống thấm 1m2x2m 3T (lông)</t>
  </si>
  <si>
    <t>Ga chống thấm 2.2x2m 2T (lông)</t>
  </si>
  <si>
    <t>Ga chống thấm 1m6x2m 3T (lông)</t>
  </si>
  <si>
    <t>GA CHỐNG THẤM LÔNG</t>
  </si>
  <si>
    <t>TẤM TRANG TRÍ</t>
  </si>
  <si>
    <t>Giá khách sạn</t>
  </si>
  <si>
    <t>Tấm trang trí 45x240cm 1 màu</t>
  </si>
  <si>
    <t>Tấm trang trí 45x240cm 2 màu</t>
  </si>
  <si>
    <t>Tấm trang trí 45x240cm 2 màu chần mặt</t>
  </si>
  <si>
    <t>Vỏ gối trang trí 45x45cm 1 màu</t>
  </si>
  <si>
    <t>Vỏ gối trang trí 45x45cm 2 màu</t>
  </si>
  <si>
    <t>Vỏ gối trang trí 45x45cm 2 màu chần mặt</t>
  </si>
  <si>
    <t>Ghi chú:</t>
  </si>
  <si>
    <t>1. Thêu + 30k/cái</t>
  </si>
  <si>
    <t>2. Tấm trang trí làm theo mẫu yêu cầu từ 10 bộ</t>
  </si>
  <si>
    <t>3. Tấm trang trí chần mặt theo yêu cầu từ 30 bộ.</t>
  </si>
  <si>
    <t>GCT102A</t>
  </si>
  <si>
    <t>GCT122A</t>
  </si>
  <si>
    <t>GCT142A</t>
  </si>
  <si>
    <t>GCT162A</t>
  </si>
  <si>
    <t>GCT182A</t>
  </si>
  <si>
    <t>GCT222A</t>
  </si>
  <si>
    <t>GCT103A</t>
  </si>
  <si>
    <t>GCT123A</t>
  </si>
  <si>
    <t>GCT143A</t>
  </si>
  <si>
    <t>GCT163A</t>
  </si>
  <si>
    <t>GCT183A</t>
  </si>
  <si>
    <t>GCT223A</t>
  </si>
  <si>
    <t>VGCT57A</t>
  </si>
  <si>
    <t>VGCT46A</t>
  </si>
  <si>
    <t>VGCTOA</t>
  </si>
  <si>
    <t>Bảo vệ nệm kate 2mx2m</t>
  </si>
  <si>
    <t>Bảo vệ nệm chống thấm 2mx2m</t>
  </si>
  <si>
    <t>Bảo vệ nệm chống thấm 2.2mx2m</t>
  </si>
  <si>
    <t>Topper làm mềm nệm 2m hàng A</t>
  </si>
  <si>
    <t>TPHA20</t>
  </si>
  <si>
    <t>BVN20</t>
  </si>
  <si>
    <t>BVNCT20</t>
  </si>
  <si>
    <t>BVNCN20</t>
  </si>
  <si>
    <t>GCT202A</t>
  </si>
  <si>
    <t>Ga chống thấm 2x2m 2T (lông)</t>
  </si>
  <si>
    <t>Ga chống thấm 2x2m 3T (lông)</t>
  </si>
  <si>
    <t>GCT203A</t>
  </si>
  <si>
    <t xml:space="preserve">Bảng giá áp dụng từ tháng 5/2025 đến khi có bảng báo giá mới </t>
  </si>
  <si>
    <t>RCH2624</t>
  </si>
  <si>
    <t>RCH2626</t>
  </si>
  <si>
    <t>RCP2424</t>
  </si>
  <si>
    <t>RCP2624</t>
  </si>
  <si>
    <t>RCP2626</t>
  </si>
  <si>
    <r>
      <rPr>
        <b/>
        <sz val="13"/>
        <color theme="1"/>
        <rFont val="Times New Roman"/>
        <family val="1"/>
      </rPr>
      <t xml:space="preserve">CÔNG TY TNHH TM – DV RIOTECH    </t>
    </r>
    <r>
      <rPr>
        <sz val="13"/>
        <color theme="1"/>
        <rFont val="Times New Roman"/>
        <family val="1"/>
      </rPr>
      <t xml:space="preserve">                                                                                                                               
</t>
    </r>
    <r>
      <rPr>
        <b/>
        <sz val="13"/>
        <color theme="1"/>
        <rFont val="Times New Roman"/>
        <family val="1"/>
      </rPr>
      <t xml:space="preserve"> Địa chỉ CTY: 37 Đường DC5 Phường Sơn Kỳ Quận Tân Phú
 Xưởng SX: 618 Lê Trọng Tấn, P.Bình Hưng Hòa, Quận Bình Tân, Tphcm                                                                                                                    
Điện thoại: 0936.515.082   Mail: riotechco@gmail.com      
Web: Riotex.com.vn</t>
    </r>
  </si>
  <si>
    <t>Ruột chăn mỏng Kate 2.4mx2m4</t>
  </si>
  <si>
    <t>RCHKT2424</t>
  </si>
  <si>
    <t>Ga chống thấm 1mx2m 4T (lông)</t>
  </si>
  <si>
    <t>Ga chống thấm 1m2x2m 4T (lông)</t>
  </si>
  <si>
    <t>Ga chống thấm 1m4x2m 4T (lông)</t>
  </si>
  <si>
    <t>Ga chống thấm 1m6x2m 4T (lông)</t>
  </si>
  <si>
    <t>Ga chống thấm 1m8x2m 4T (lông)</t>
  </si>
  <si>
    <t>Ga chống thấm 2x2m 4T (lông)</t>
  </si>
  <si>
    <t>Ga chống thấm 2.2x2m 4T (lông)</t>
  </si>
  <si>
    <t>GCT104A</t>
  </si>
  <si>
    <t>GCT124A</t>
  </si>
  <si>
    <t>GCT144A</t>
  </si>
  <si>
    <t>GCT164A</t>
  </si>
  <si>
    <t>GCT184A</t>
  </si>
  <si>
    <t>GCT204A</t>
  </si>
  <si>
    <t>GCT224A</t>
  </si>
  <si>
    <t>GCT104</t>
  </si>
  <si>
    <t>GCT124</t>
  </si>
  <si>
    <t>GCT144</t>
  </si>
  <si>
    <t>GCT164</t>
  </si>
  <si>
    <t>GCT184</t>
  </si>
  <si>
    <t>GCT224</t>
  </si>
  <si>
    <t>Ga chống thấm 2x2m 2T</t>
  </si>
  <si>
    <t>GCT202</t>
  </si>
  <si>
    <t>Ga chống thấm 2mx2m 3T</t>
  </si>
  <si>
    <t>GCT203</t>
  </si>
  <si>
    <t>GCT204</t>
  </si>
  <si>
    <t>Ga chống thấm 1m2x2m 4T</t>
  </si>
  <si>
    <t>Ga chống thấm 1mx2m 4T</t>
  </si>
  <si>
    <t>Ga chống thấm 1m4x2m 4T</t>
  </si>
  <si>
    <t>Ga chống thấm 1m6x2m 4T</t>
  </si>
  <si>
    <t>Ga chống thấm 1m8x2m 4T</t>
  </si>
  <si>
    <t>Ga chống thấm 2x2m 4T</t>
  </si>
  <si>
    <t>Ga chống thấm 2.2x2m 4T</t>
  </si>
  <si>
    <t>Khăn mặt  40x75 150g Rio</t>
  </si>
  <si>
    <t>Ruột gối lông vũ 40x60cm</t>
  </si>
  <si>
    <t>RGLV46</t>
  </si>
  <si>
    <t>Ruột gối lông vũ 50x70cm</t>
  </si>
  <si>
    <t>RGLV57</t>
  </si>
  <si>
    <t>Ruột gối lông vũ 35x100 cm</t>
  </si>
  <si>
    <t>RGLV100</t>
  </si>
  <si>
    <t>Bịch 100</t>
  </si>
  <si>
    <t>Cuộn 100</t>
  </si>
  <si>
    <t>Bịch 200</t>
  </si>
  <si>
    <t>Chụp tóc bao giấy kraft</t>
  </si>
  <si>
    <t>KM150</t>
  </si>
  <si>
    <t>Ruột gối Riotechhome 40x60cm</t>
  </si>
  <si>
    <t>Ruột gối Riotechhome  50x70cm</t>
  </si>
  <si>
    <t>Ruột gối Riotechhome 45x45cm</t>
  </si>
  <si>
    <t>Ruột gối Riotechhome ôm 35x100cm</t>
  </si>
  <si>
    <t>Ruột gối Riotex 40x60cm</t>
  </si>
  <si>
    <t>Ruột gối Riotex 50x70cm</t>
  </si>
  <si>
    <t>Ruột gối Riotex ôm 35x100cm</t>
  </si>
  <si>
    <t>BC38KDBG</t>
  </si>
  <si>
    <t>LBKSBG</t>
  </si>
  <si>
    <t>Bàn chải trong 38 kem đỏ cước mềm bao giấy kraft</t>
  </si>
  <si>
    <t>Lược bi trắng bao giấy kraft</t>
  </si>
  <si>
    <t>Tăm bông (gói 5 que) - Túi nilon</t>
  </si>
  <si>
    <t>Tăm bông (gói 5 que) - bao giấy kraft</t>
  </si>
  <si>
    <t>Dao cạo râu + kem - Túi nilon</t>
  </si>
  <si>
    <t>Dao cạo râu + kem - Bao giấy kraft</t>
  </si>
  <si>
    <t>2T là dành cho nệm 5-15cm, 3T là dành cho nệm 16-25cm, 4T là dành cho nệm 26-35cm</t>
  </si>
  <si>
    <t>TBKSBG</t>
  </si>
  <si>
    <t>CTKSBG</t>
  </si>
  <si>
    <t>DCRKBG</t>
  </si>
  <si>
    <t xml:space="preserve">Bảng giá áp dụng từ tháng 10/2025 đến khi có bảng báo giá mới </t>
  </si>
  <si>
    <t>Ruột chăn mỏng CT 1.6mx2m</t>
  </si>
  <si>
    <t>Ruột chăn mỏng CT 1.8mx2m</t>
  </si>
  <si>
    <t>Ruột chăn mỏng CT 2.2mx2m</t>
  </si>
  <si>
    <t>Ruột chăn mỏng CT 2.2mx2m4</t>
  </si>
  <si>
    <t>Ruột chăn mỏng CT 2.4mx2m4</t>
  </si>
  <si>
    <t>Ruột chăn mỏng CT 2.6mx2m4</t>
  </si>
  <si>
    <t>Ruột chăn mỏng CT 2.6mx2m6</t>
  </si>
  <si>
    <t>Bảo vệ nệm CT 1mx2m</t>
  </si>
  <si>
    <t>Bảo vệ nệm CT 1.2mx2m</t>
  </si>
  <si>
    <t>Bảo vệ nệm CT 1.4mx2m</t>
  </si>
  <si>
    <t>Bảo vệ nệm CT 1.6mx2m</t>
  </si>
  <si>
    <t>Bảo vệ nệm CT 1.8mx2m</t>
  </si>
  <si>
    <t>Bảo vệ nệm CT 2mx2m</t>
  </si>
  <si>
    <t>Bảo vệ nệm CT 2.2mx2m</t>
  </si>
  <si>
    <t>Vỏ chăn sọc S1 2.2mx2.4m</t>
  </si>
  <si>
    <t>Vỏ chăn sọc S1 2.4mx2.4m</t>
  </si>
  <si>
    <t>Vỏ chăn sọc S1 2.6mx2.6m</t>
  </si>
  <si>
    <t>RS1VC2624</t>
  </si>
  <si>
    <t>RS1VC2626</t>
  </si>
  <si>
    <t>Vỏ chăn sọc S1 2.6mx2.4m</t>
  </si>
  <si>
    <t>Vỏ chăn trắng trơn T1 2.6mx2.6m</t>
  </si>
  <si>
    <t>Vỏ chăn trắng trơn T1 2.6mx2.4m</t>
  </si>
  <si>
    <t>Vỏ chăn trắng trơn T1 2.4mx2.4m</t>
  </si>
  <si>
    <t>Vỏ chăn trắng trơn T1 2.2mx2.4m</t>
  </si>
  <si>
    <t>RT1VC2624</t>
  </si>
  <si>
    <t>RT1VC2626</t>
  </si>
  <si>
    <t>Chăn trắng sọc chần bông 2.2mx2.4m</t>
  </si>
  <si>
    <t>Chăn trắng trơn chần bông 2.2mx2.4m</t>
  </si>
  <si>
    <t>GA TRẮNG SỌC S2 - T350 100% cotton</t>
  </si>
  <si>
    <t>Ga trắng sọc  S 1.0m 2T</t>
  </si>
  <si>
    <t>Ga trắng sọc  S 1.2m 2T</t>
  </si>
  <si>
    <t>Ga trắng sọc  S 1.4m 2T</t>
  </si>
  <si>
    <t>Ga trắng sọc  S 1.6m 2T</t>
  </si>
  <si>
    <t>Ga trắng sọc S 1.8m 2T</t>
  </si>
  <si>
    <t>Ga trắng sọc S 2.2m 2T</t>
  </si>
  <si>
    <t>Ga trắng sọc  S 1.0m 3T</t>
  </si>
  <si>
    <t>Ga trắng sọc  S 1.2m 3T</t>
  </si>
  <si>
    <t>Ga trắng sọc S 1.4m 3T</t>
  </si>
  <si>
    <t>Ga trắng sọc  S 1.6m 3T</t>
  </si>
  <si>
    <t>Ga trắng sọc  S 1.8m 3T</t>
  </si>
  <si>
    <t>Ga trắng sọc  S 2.2m 3T</t>
  </si>
  <si>
    <t>Ga trắng sọc  S 1.0m 4T</t>
  </si>
  <si>
    <t>Ga trắng sọc  S 1.2m 4T</t>
  </si>
  <si>
    <t>Ga trắng sọc S 1.4m 4T</t>
  </si>
  <si>
    <t>Ga trắng sọc  S 1.6m 4T</t>
  </si>
  <si>
    <t>Ga trắng sọc  S 1.8m 4T</t>
  </si>
  <si>
    <t>Ga trắng sọc  S 2.2m 4T</t>
  </si>
  <si>
    <t>RS102</t>
  </si>
  <si>
    <t>RS122</t>
  </si>
  <si>
    <t>RS142</t>
  </si>
  <si>
    <t>RS162</t>
  </si>
  <si>
    <t>RS182</t>
  </si>
  <si>
    <t>RS222</t>
  </si>
  <si>
    <t>RS103</t>
  </si>
  <si>
    <t>RS123</t>
  </si>
  <si>
    <t>RS143</t>
  </si>
  <si>
    <t>RS163</t>
  </si>
  <si>
    <t>RS183</t>
  </si>
  <si>
    <t>RS223</t>
  </si>
  <si>
    <t>RS104</t>
  </si>
  <si>
    <t>RS124</t>
  </si>
  <si>
    <t>RS144</t>
  </si>
  <si>
    <t>RS164</t>
  </si>
  <si>
    <t>RS184</t>
  </si>
  <si>
    <t>RS224</t>
  </si>
  <si>
    <t>Ga trắng sọc S 2mx2m 2T</t>
  </si>
  <si>
    <t>RS202</t>
  </si>
  <si>
    <t>Ga trắng sọc  S 2mx2m 3T</t>
  </si>
  <si>
    <t>RS203</t>
  </si>
  <si>
    <t>RS204</t>
  </si>
  <si>
    <t>Ga trắng sọc  S 2mx2m 4T</t>
  </si>
  <si>
    <t>VỎ CHĂN TRẮNG SỌC S - T250 55% cotton - 45% poly</t>
  </si>
  <si>
    <t>VỎ GỐI TRẮNG SỌC S - T250 55% cotton - 45% poly</t>
  </si>
  <si>
    <t>GA TRẮNG SỌC S - T250 55% cotton, 45% poly</t>
  </si>
  <si>
    <t>RSVC1620</t>
  </si>
  <si>
    <t>RSVC1820</t>
  </si>
  <si>
    <t>RSVC2220</t>
  </si>
  <si>
    <t>RSVC2224</t>
  </si>
  <si>
    <t>RSVC2424</t>
  </si>
  <si>
    <t>RSVC2624</t>
  </si>
  <si>
    <t>RSVC2626</t>
  </si>
  <si>
    <t>Vỏ chăn trắng sọc S 1.6mx2m</t>
  </si>
  <si>
    <t>Vỏ chăn sọc sọc S 1.8mx2m</t>
  </si>
  <si>
    <t>Vỏ chăn sọc S 2.2mx2m</t>
  </si>
  <si>
    <t>Vỏ chăn sọc S 2.2mx2.4m</t>
  </si>
  <si>
    <t>Vỏ chăn sọc S 2.4mx2.4m</t>
  </si>
  <si>
    <t>Vỏ chăn sọc S 2.6mx2.4m</t>
  </si>
  <si>
    <t>Vỏ chăn sọc S 2.6mx2.6m</t>
  </si>
  <si>
    <t>Vỏ gối trắng sọc S 60x80</t>
  </si>
  <si>
    <t>Vỏ gối trắng sọc S 50x70</t>
  </si>
  <si>
    <t>Vỏ gối trắng sọc S 40x60</t>
  </si>
  <si>
    <t>Vỏ gối ôm trắng sọc S</t>
  </si>
  <si>
    <t>RSVG68</t>
  </si>
  <si>
    <t>RSVG57</t>
  </si>
  <si>
    <t>RSVG46</t>
  </si>
  <si>
    <t>RSVG35</t>
  </si>
  <si>
    <t>GA TRẮNG TRƠN T - T250 55% cotton - 45% poly</t>
  </si>
  <si>
    <t>Ga trắng trơn  T 1.0m 2T</t>
  </si>
  <si>
    <t>Ga trắng trơn  T 1.2m 2T</t>
  </si>
  <si>
    <t>Ga trắng trơn  T 1.4m 2T</t>
  </si>
  <si>
    <t>Ga trắng trơn  T 1.6m 2T</t>
  </si>
  <si>
    <t>Ga trắng trơn  T 1.8m 2T</t>
  </si>
  <si>
    <t>Ga trắng trơn  T 2.2m 2T</t>
  </si>
  <si>
    <t>Ga trắng trơn  T 1.0m 3T</t>
  </si>
  <si>
    <t>Ga trắng trơn  T 1.2m 3T</t>
  </si>
  <si>
    <t>Ga trắng trơn  T 1.4m 3T</t>
  </si>
  <si>
    <t>Ga trắng trơn  T 1.6m 3T</t>
  </si>
  <si>
    <t>Ga trắng trơn  T 1.8m 3T</t>
  </si>
  <si>
    <t>Ga trắng trơn  T 2.2m 3T</t>
  </si>
  <si>
    <t>Ga trắng trơn  T 1.0m 4T</t>
  </si>
  <si>
    <t>Ga trắng trơn  T 1.2m 4T</t>
  </si>
  <si>
    <t>Ga trắng trơn  T 1.4m 4T</t>
  </si>
  <si>
    <t>Ga trắng trơn  T 1.6m 4T</t>
  </si>
  <si>
    <t>Ga trắng trơn  T 1.8m 4T</t>
  </si>
  <si>
    <t>Ga trắng trơn  T 2.2m 4T</t>
  </si>
  <si>
    <t>RT102</t>
  </si>
  <si>
    <t>RT122</t>
  </si>
  <si>
    <t>RT142</t>
  </si>
  <si>
    <t>RT162</t>
  </si>
  <si>
    <t>RT182</t>
  </si>
  <si>
    <t>RT222</t>
  </si>
  <si>
    <t>RT103</t>
  </si>
  <si>
    <t>RT123</t>
  </si>
  <si>
    <t>RT143</t>
  </si>
  <si>
    <t>RT163</t>
  </si>
  <si>
    <t>RT183</t>
  </si>
  <si>
    <t>RT223</t>
  </si>
  <si>
    <t>RT104</t>
  </si>
  <si>
    <t>RT124</t>
  </si>
  <si>
    <t>RT144</t>
  </si>
  <si>
    <t>RT164</t>
  </si>
  <si>
    <t>RT184</t>
  </si>
  <si>
    <t>RT224</t>
  </si>
  <si>
    <t>Ga trắng trơn  T 2mx2m 2T</t>
  </si>
  <si>
    <t>RT202</t>
  </si>
  <si>
    <t>Ga trắng trơn  T 2mx2m 3T</t>
  </si>
  <si>
    <t>RT203</t>
  </si>
  <si>
    <t>RT204</t>
  </si>
  <si>
    <t>Ga trắng trơn  T 2mx2m 4T</t>
  </si>
  <si>
    <t>VỎ CHĂN TRẮNG TRƠN T - T250 55% cotton - 45% poly</t>
  </si>
  <si>
    <t>Vỏ chăn trắng trơn T 1.6mx2m</t>
  </si>
  <si>
    <t>Vỏ chăn trắng trơn T 1.8mx2m</t>
  </si>
  <si>
    <t>Vỏ chăn trắng trơn T 2.2mx2m</t>
  </si>
  <si>
    <t>Vỏ chăn trắng trơn T 2.2mx2.4m</t>
  </si>
  <si>
    <t>Vỏ chăn trắng trơn T 2.4mx2.4m</t>
  </si>
  <si>
    <t>Vỏ chăn trắng trơn T 2.6mx2.4m</t>
  </si>
  <si>
    <t>Vỏ chăn trắng trơn T 2.6mx2.6m</t>
  </si>
  <si>
    <t>RTVC1620</t>
  </si>
  <si>
    <t>RTVC1820</t>
  </si>
  <si>
    <t>RTVC2220</t>
  </si>
  <si>
    <t>RTVC2224</t>
  </si>
  <si>
    <t>RTVC2424</t>
  </si>
  <si>
    <t>RTVC2624</t>
  </si>
  <si>
    <t>RTVC2626</t>
  </si>
  <si>
    <t>VỎ GỐI TRẮNG TRƠN T - T250 55% cotton - 45% poly</t>
  </si>
  <si>
    <t>Vỏ gối trắng trơn T 60x80</t>
  </si>
  <si>
    <t>Vỏ gối trắng trơn T 50x70</t>
  </si>
  <si>
    <t>Vỏ gối trắng trơn T 40x60</t>
  </si>
  <si>
    <t>Vỏ gối ôm trắng trơn T</t>
  </si>
  <si>
    <t>RTVG68</t>
  </si>
  <si>
    <t>RTVG57</t>
  </si>
  <si>
    <t>RTVG46</t>
  </si>
  <si>
    <t>RTVG35</t>
  </si>
  <si>
    <t>Chăn trắng sọc chần bông S 1.8mx2m</t>
  </si>
  <si>
    <t>CHĂN SỌC  S - T250 55% cotton - 45% poly</t>
  </si>
  <si>
    <t>Chăn trắng sọc chần bông S 1.6mx2m</t>
  </si>
  <si>
    <t>Chăn trắng sọc chần bông S 2.2mx2m</t>
  </si>
  <si>
    <t>Chăn trắng sọc chần bông S 2.2mx2.4m</t>
  </si>
  <si>
    <t>CHĂN TRƠN T - T250 55% cotton - 45% poly</t>
  </si>
  <si>
    <t>Chăn trắng trơn chần bông T 1.6mx2m</t>
  </si>
  <si>
    <t>Chăn trắng trơn chần bông T 1.8mx2m</t>
  </si>
  <si>
    <t>Chăn trắng trơn chần bông T 2.2mx2m</t>
  </si>
  <si>
    <t>Chăn trắng trơn chần bông T 2.2mx2.4m</t>
  </si>
  <si>
    <t>CTT1620</t>
  </si>
  <si>
    <t>CTT1820</t>
  </si>
  <si>
    <t>CTT2220</t>
  </si>
  <si>
    <t>CTT2224</t>
  </si>
  <si>
    <t>CTS1620</t>
  </si>
  <si>
    <t>CTS1820</t>
  </si>
  <si>
    <t>CTS2220</t>
  </si>
  <si>
    <t>CTS2224</t>
  </si>
  <si>
    <t>VẢI T200 100% POLY CÁN LỤA</t>
  </si>
  <si>
    <t>Ga T200  1.4m 2T</t>
  </si>
  <si>
    <t>Ga T200 1.2m 2T</t>
  </si>
  <si>
    <t>Ga T200 1.0m 2T</t>
  </si>
  <si>
    <t>Ga T200  1.6m 2T</t>
  </si>
  <si>
    <t>Ga T200  1.8m 2T</t>
  </si>
  <si>
    <t>Ga T200 2.2m 2T</t>
  </si>
  <si>
    <t>Ga T200  1.0m 3T</t>
  </si>
  <si>
    <t>Ga T200  1.2m 3T</t>
  </si>
  <si>
    <t>Ga T200 1.4m 3T</t>
  </si>
  <si>
    <t>Ga T200 1.6m 3T</t>
  </si>
  <si>
    <t>Ga T200 1.8m 3T</t>
  </si>
  <si>
    <t>Ga T200 2.2m 3T</t>
  </si>
  <si>
    <t>Ga T200 1.0m 4T</t>
  </si>
  <si>
    <t>Ga T200 1.2m 4T</t>
  </si>
  <si>
    <t>Ga T200 1.4m 4T</t>
  </si>
  <si>
    <t>Ga T200  1.6m 4T</t>
  </si>
  <si>
    <t>Ga T200 1.8m 4T</t>
  </si>
  <si>
    <t>Ga T200  2.2m 4T</t>
  </si>
  <si>
    <t>Vỏ chăn T200 1.6mx2m</t>
  </si>
  <si>
    <t>Vỏ chăn T200 1.8mx2m</t>
  </si>
  <si>
    <t>Vỏ chăn T200 2.2mx2m</t>
  </si>
  <si>
    <t>Vỏ chăn T200 2.2mx2m4</t>
  </si>
  <si>
    <t>Vỏ chăn T200 2.4mx2m4</t>
  </si>
  <si>
    <t>Vỏ gối T200 60x80</t>
  </si>
  <si>
    <t>Vỏ gối T200 50x70</t>
  </si>
  <si>
    <t>Vỏ gối T200 40x60</t>
  </si>
  <si>
    <t>Vỏ gối ôm T200</t>
  </si>
  <si>
    <t xml:space="preserve">Chăn T200 chần bông 1.6mx2m  </t>
  </si>
  <si>
    <t xml:space="preserve">Chăn T200 chần bông 1.8mx2m  </t>
  </si>
  <si>
    <t xml:space="preserve">Chăn T200 chần bông 2.2mx2m </t>
  </si>
  <si>
    <t>Chăn T200 chần bông 2.2mx2m4</t>
  </si>
  <si>
    <t>MỀN CHẦN T200</t>
  </si>
  <si>
    <t>MCB1620</t>
  </si>
  <si>
    <t>MCB1820</t>
  </si>
  <si>
    <t>MCB2220</t>
  </si>
  <si>
    <t>MCB2224</t>
  </si>
  <si>
    <t>VỎ CHĂN T200</t>
  </si>
  <si>
    <t>VỎ GỐI T200</t>
  </si>
  <si>
    <t>Ga T200 2mx2m 2T</t>
  </si>
  <si>
    <t>RS.202</t>
  </si>
  <si>
    <t>Ga T200 2mx2m 3T</t>
  </si>
  <si>
    <t>RS.203</t>
  </si>
  <si>
    <t>Ga T200  2mx2m 4T</t>
  </si>
  <si>
    <t>RS.204</t>
  </si>
  <si>
    <t>GA TRẮNG SỌC S1 - T300 80% cotton - 20% poly</t>
  </si>
  <si>
    <t>VỎ GỐI TRẮNG SỌC S1 - T300</t>
  </si>
  <si>
    <t xml:space="preserve">VỎ CHĂN TRẮNG SỌC S1 -  T300 </t>
  </si>
  <si>
    <t>VỎ CHĂN TRẮNG TRƠN T1 - T300</t>
  </si>
  <si>
    <t xml:space="preserve">GA TRẮNG TRƠN T1 - T300 </t>
  </si>
  <si>
    <t>VỎ GỐI TRẮNG TRƠN T1-  T300</t>
  </si>
  <si>
    <t>CHĂN SỌC  S1 - T300</t>
  </si>
  <si>
    <t>CHĂN TRƠN T1 - T300</t>
  </si>
  <si>
    <t>Ga trắng sọc S1 2mx2m 2T</t>
  </si>
  <si>
    <t>Ga trắng sọc  S1 2mx2m 3T</t>
  </si>
  <si>
    <t>Ga trắng sọc  S1 2mx2m 4T</t>
  </si>
  <si>
    <t>RS1202</t>
  </si>
  <si>
    <t>RS1203</t>
  </si>
  <si>
    <t>RS1204</t>
  </si>
  <si>
    <t>Ga trắng trơn  T1 2mx2m 2T</t>
  </si>
  <si>
    <t>RT1202</t>
  </si>
  <si>
    <t>Ga trắng trơn  T1 2mx2m 3T</t>
  </si>
  <si>
    <t>Ga trắng trơn  T1 2mx2m 4T</t>
  </si>
  <si>
    <t>RT1204</t>
  </si>
  <si>
    <t>RT1203</t>
  </si>
  <si>
    <t>Ghi chú: Giá trên chưa bao gồm VAT 8% và phí vận chuyển.</t>
  </si>
  <si>
    <t>S0, T0, vải sọc màu là vải T200 100% poly cán lụa . Khổ vải 2.4m , 2.6m, 2.8m. Sọc màu chỉ có khổ 2.4m</t>
  </si>
  <si>
    <t>T, S là vải T250 55% cotton, 45% poly . Khổ vải 2.4m , 2.6m, 2.8m.</t>
  </si>
  <si>
    <t>Ghi chú: T2, S2 là vải T350 100% cotton. Khổ vải: 2.6m, 2.8m.</t>
  </si>
  <si>
    <t>Ghi chú: T1, S1 là vải T300 80% cotton, 20% poly . Khổ vải 2.4m , 2.6m, 2.8m.</t>
  </si>
  <si>
    <t>Ruột chăn phao CT 1.6mx2m</t>
  </si>
  <si>
    <t>Ruột chăn phao CT 1.8mx2m</t>
  </si>
  <si>
    <t>Ruột chăn phao CT 2.2mx2m</t>
  </si>
  <si>
    <t>Ruột chăn phao CT 2.2mx2m4</t>
  </si>
  <si>
    <t>Ruột chăn phao CT 2.4mx2m4</t>
  </si>
  <si>
    <t>Ruột chăn phao CT 2.6mx2m4</t>
  </si>
  <si>
    <t>Ruột chăn phao CT 2.6mx2m6</t>
  </si>
  <si>
    <t>TOPPER HÀNG A - Vải T200</t>
  </si>
  <si>
    <t>Ghi chú: Giá trên chưa bao gồm VAT 10% và phí vận chuyển.</t>
  </si>
  <si>
    <t>Giá Sỉ RS</t>
  </si>
  <si>
    <t>RS-T</t>
  </si>
  <si>
    <t>RS1-T1</t>
  </si>
  <si>
    <t>RS2-T2</t>
  </si>
  <si>
    <t>RS0-T0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</si>
</sst>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name val="Times New Roman"/>
      <family val="2"/>
    </font>
    <font>
      <sz val="13"/>
      <color theme="1"/>
      <name val="Times New Roman"/>
      <family val="2"/>
    </font>
    <font>
      <sz val="13"/>
      <name val="Times New Roman"/>
      <family val="2"/>
    </font>
    <font>
      <sz val="14"/>
      <color rgb="FFFF0000"/>
      <name val="Times New Roman"/>
      <family val="2"/>
    </font>
    <font>
      <sz val="12"/>
      <color theme="1"/>
      <name val="Calibri"/>
      <family val="2"/>
      <scheme val="minor"/>
    </font>
    <font>
      <b/>
      <sz val="12"/>
      <color rgb="FFFF0000"/>
      <name val="Times New Roman"/>
      <family val="2"/>
    </font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Times New Roman"/>
      <family val="2"/>
    </font>
    <font>
      <b/>
      <sz val="13"/>
      <color rgb="FFFF0000"/>
      <name val="Times New Roman"/>
      <family val="2"/>
    </font>
    <font>
      <sz val="13"/>
      <color rgb="FFFF0000"/>
      <name val="Times New Roman"/>
      <family val="2"/>
    </font>
    <font>
      <sz val="13"/>
      <color rgb="FF000000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8"/>
      <name val="Calibri"/>
      <family val="2"/>
      <scheme val="minor"/>
    </font>
    <font>
      <b/>
      <sz val="13"/>
      <color theme="9"/>
      <name val="Times New Roman"/>
      <family val="1"/>
    </font>
    <font>
      <sz val="20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156">
    <xf numFmtId="0" fontId="0" fillId="0" borderId="0" xfId="0"/>
    <xf numFmtId="0" fontId="3" fillId="0" borderId="0" xfId="0" applyFont="1"/>
    <xf numFmtId="0" fontId="5" fillId="4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3" fontId="4" fillId="4" borderId="8" xfId="0" applyNumberFormat="1" applyFont="1" applyFill="1" applyBorder="1" applyAlignment="1">
      <alignment vertical="center" wrapText="1"/>
    </xf>
    <xf numFmtId="3" fontId="4" fillId="0" borderId="8" xfId="0" applyNumberFormat="1" applyFont="1" applyBorder="1" applyAlignment="1">
      <alignment horizontal="right" vertical="center" wrapText="1"/>
    </xf>
    <xf numFmtId="3" fontId="3" fillId="4" borderId="0" xfId="0" applyNumberFormat="1" applyFont="1" applyFill="1"/>
    <xf numFmtId="0" fontId="9" fillId="4" borderId="8" xfId="0" applyFont="1" applyFill="1" applyBorder="1" applyAlignment="1">
      <alignment horizontal="center" vertical="center" wrapText="1"/>
    </xf>
    <xf numFmtId="3" fontId="9" fillId="4" borderId="8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3" fontId="9" fillId="4" borderId="8" xfId="0" applyNumberFormat="1" applyFont="1" applyFill="1" applyBorder="1" applyAlignment="1">
      <alignment vertical="center" wrapText="1"/>
    </xf>
    <xf numFmtId="0" fontId="12" fillId="0" borderId="0" xfId="0" applyFont="1"/>
    <xf numFmtId="3" fontId="9" fillId="4" borderId="10" xfId="0" applyNumberFormat="1" applyFont="1" applyFill="1" applyBorder="1" applyAlignment="1">
      <alignment horizontal="center" vertical="center" wrapText="1"/>
    </xf>
    <xf numFmtId="3" fontId="9" fillId="6" borderId="10" xfId="0" applyNumberFormat="1" applyFont="1" applyFill="1" applyBorder="1" applyAlignment="1">
      <alignment vertical="center" wrapText="1"/>
    </xf>
    <xf numFmtId="164" fontId="3" fillId="0" borderId="0" xfId="1" applyNumberFormat="1" applyFont="1"/>
    <xf numFmtId="164" fontId="3" fillId="8" borderId="8" xfId="1" applyNumberFormat="1" applyFont="1" applyFill="1" applyBorder="1"/>
    <xf numFmtId="164" fontId="3" fillId="0" borderId="8" xfId="1" applyNumberFormat="1" applyFont="1" applyBorder="1"/>
    <xf numFmtId="164" fontId="0" fillId="0" borderId="0" xfId="1" applyNumberFormat="1" applyFont="1"/>
    <xf numFmtId="0" fontId="13" fillId="0" borderId="8" xfId="0" applyFont="1" applyBorder="1"/>
    <xf numFmtId="0" fontId="13" fillId="0" borderId="0" xfId="0" applyFont="1"/>
    <xf numFmtId="0" fontId="4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left" vertical="center" wrapText="1"/>
    </xf>
    <xf numFmtId="3" fontId="4" fillId="9" borderId="8" xfId="0" applyNumberFormat="1" applyFont="1" applyFill="1" applyBorder="1" applyAlignment="1">
      <alignment vertical="center" wrapText="1"/>
    </xf>
    <xf numFmtId="3" fontId="4" fillId="9" borderId="8" xfId="0" applyNumberFormat="1" applyFont="1" applyFill="1" applyBorder="1" applyAlignment="1">
      <alignment horizontal="right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left" vertical="center" wrapText="1"/>
    </xf>
    <xf numFmtId="3" fontId="4" fillId="10" borderId="8" xfId="0" applyNumberFormat="1" applyFont="1" applyFill="1" applyBorder="1" applyAlignment="1">
      <alignment vertical="center" wrapText="1"/>
    </xf>
    <xf numFmtId="3" fontId="4" fillId="10" borderId="8" xfId="0" applyNumberFormat="1" applyFont="1" applyFill="1" applyBorder="1" applyAlignment="1">
      <alignment horizontal="right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0" fontId="0" fillId="6" borderId="0" xfId="0" applyFill="1"/>
    <xf numFmtId="0" fontId="4" fillId="11" borderId="8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left" vertical="center" wrapText="1"/>
    </xf>
    <xf numFmtId="3" fontId="4" fillId="11" borderId="8" xfId="0" applyNumberFormat="1" applyFont="1" applyFill="1" applyBorder="1" applyAlignment="1">
      <alignment vertical="center" wrapText="1"/>
    </xf>
    <xf numFmtId="3" fontId="4" fillId="11" borderId="8" xfId="0" applyNumberFormat="1" applyFont="1" applyFill="1" applyBorder="1" applyAlignment="1">
      <alignment horizontal="right" vertical="center" wrapText="1"/>
    </xf>
    <xf numFmtId="0" fontId="5" fillId="0" borderId="0" xfId="0" applyFont="1"/>
    <xf numFmtId="0" fontId="4" fillId="4" borderId="8" xfId="0" applyFont="1" applyFill="1" applyBorder="1" applyAlignment="1">
      <alignment horizontal="center" vertical="center" wrapText="1"/>
    </xf>
    <xf numFmtId="3" fontId="5" fillId="4" borderId="0" xfId="0" applyNumberFormat="1" applyFont="1" applyFill="1"/>
    <xf numFmtId="41" fontId="5" fillId="0" borderId="0" xfId="2" applyFont="1"/>
    <xf numFmtId="0" fontId="18" fillId="2" borderId="8" xfId="0" applyFont="1" applyFill="1" applyBorder="1" applyAlignment="1">
      <alignment horizontal="center" vertical="center" wrapText="1"/>
    </xf>
    <xf numFmtId="164" fontId="18" fillId="2" borderId="8" xfId="1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8" fillId="12" borderId="8" xfId="0" applyFont="1" applyFill="1" applyBorder="1" applyAlignment="1">
      <alignment vertical="center" wrapText="1"/>
    </xf>
    <xf numFmtId="0" fontId="18" fillId="12" borderId="8" xfId="0" applyFont="1" applyFill="1" applyBorder="1" applyAlignment="1">
      <alignment horizontal="center" vertical="center" wrapText="1"/>
    </xf>
    <xf numFmtId="164" fontId="18" fillId="12" borderId="8" xfId="1" applyNumberFormat="1" applyFont="1" applyFill="1" applyBorder="1" applyAlignment="1">
      <alignment horizontal="center" vertical="center" wrapText="1"/>
    </xf>
    <xf numFmtId="164" fontId="20" fillId="12" borderId="8" xfId="1" applyNumberFormat="1" applyFont="1" applyFill="1" applyBorder="1"/>
    <xf numFmtId="0" fontId="19" fillId="0" borderId="0" xfId="0" applyFont="1" applyAlignment="1">
      <alignment horizontal="center"/>
    </xf>
    <xf numFmtId="164" fontId="19" fillId="0" borderId="0" xfId="1" applyNumberFormat="1" applyFont="1" applyAlignment="1">
      <alignment horizontal="center"/>
    </xf>
    <xf numFmtId="164" fontId="20" fillId="0" borderId="0" xfId="1" applyNumberFormat="1" applyFont="1"/>
    <xf numFmtId="41" fontId="20" fillId="2" borderId="8" xfId="2" applyFont="1" applyFill="1" applyBorder="1" applyAlignment="1">
      <alignment vertical="center"/>
    </xf>
    <xf numFmtId="41" fontId="20" fillId="0" borderId="8" xfId="2" applyFont="1" applyBorder="1"/>
    <xf numFmtId="41" fontId="20" fillId="0" borderId="0" xfId="2" applyFont="1"/>
    <xf numFmtId="41" fontId="14" fillId="0" borderId="0" xfId="2" applyFont="1"/>
    <xf numFmtId="3" fontId="4" fillId="4" borderId="10" xfId="0" applyNumberFormat="1" applyFont="1" applyFill="1" applyBorder="1" applyAlignment="1">
      <alignment horizontal="center" vertical="center" wrapText="1"/>
    </xf>
    <xf numFmtId="3" fontId="4" fillId="4" borderId="10" xfId="0" applyNumberFormat="1" applyFont="1" applyFill="1" applyBorder="1" applyAlignment="1">
      <alignment vertical="center" wrapText="1"/>
    </xf>
    <xf numFmtId="3" fontId="4" fillId="6" borderId="10" xfId="0" applyNumberFormat="1" applyFont="1" applyFill="1" applyBorder="1" applyAlignment="1">
      <alignment vertical="center" wrapText="1"/>
    </xf>
    <xf numFmtId="41" fontId="5" fillId="0" borderId="8" xfId="2" applyFont="1" applyBorder="1" applyAlignment="1">
      <alignment horizontal="center" vertical="center"/>
    </xf>
    <xf numFmtId="41" fontId="5" fillId="0" borderId="8" xfId="2" applyFont="1" applyBorder="1"/>
    <xf numFmtId="164" fontId="18" fillId="5" borderId="8" xfId="1" applyNumberFormat="1" applyFont="1" applyFill="1" applyBorder="1" applyAlignment="1">
      <alignment horizontal="center" vertical="center" wrapText="1"/>
    </xf>
    <xf numFmtId="41" fontId="20" fillId="7" borderId="8" xfId="2" applyFont="1" applyFill="1" applyBorder="1" applyAlignment="1">
      <alignment vertical="center"/>
    </xf>
    <xf numFmtId="41" fontId="20" fillId="7" borderId="8" xfId="2" applyFont="1" applyFill="1" applyBorder="1"/>
    <xf numFmtId="41" fontId="20" fillId="5" borderId="8" xfId="2" applyFont="1" applyFill="1" applyBorder="1" applyAlignment="1">
      <alignment vertical="center"/>
    </xf>
    <xf numFmtId="164" fontId="18" fillId="2" borderId="10" xfId="1" applyNumberFormat="1" applyFont="1" applyFill="1" applyBorder="1" applyAlignment="1">
      <alignment horizontal="center" vertical="center" wrapText="1"/>
    </xf>
    <xf numFmtId="164" fontId="20" fillId="12" borderId="10" xfId="1" applyNumberFormat="1" applyFont="1" applyFill="1" applyBorder="1"/>
    <xf numFmtId="41" fontId="14" fillId="0" borderId="8" xfId="2" applyFont="1" applyBorder="1"/>
    <xf numFmtId="41" fontId="20" fillId="0" borderId="8" xfId="2" applyFont="1" applyBorder="1" applyAlignment="1">
      <alignment vertical="center"/>
    </xf>
    <xf numFmtId="0" fontId="20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 wrapText="1"/>
    </xf>
    <xf numFmtId="3" fontId="20" fillId="4" borderId="8" xfId="0" applyNumberFormat="1" applyFont="1" applyFill="1" applyBorder="1" applyAlignment="1">
      <alignment vertical="center" wrapText="1"/>
    </xf>
    <xf numFmtId="0" fontId="20" fillId="4" borderId="8" xfId="0" applyFont="1" applyFill="1" applyBorder="1" applyAlignment="1">
      <alignment horizontal="center" vertical="center" wrapText="1"/>
    </xf>
    <xf numFmtId="3" fontId="20" fillId="4" borderId="8" xfId="0" applyNumberFormat="1" applyFont="1" applyFill="1" applyBorder="1" applyAlignment="1">
      <alignment horizontal="center" vertical="center" wrapText="1"/>
    </xf>
    <xf numFmtId="3" fontId="20" fillId="6" borderId="8" xfId="0" applyNumberFormat="1" applyFont="1" applyFill="1" applyBorder="1" applyAlignment="1">
      <alignment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wrapText="1"/>
    </xf>
    <xf numFmtId="3" fontId="22" fillId="4" borderId="8" xfId="0" applyNumberFormat="1" applyFont="1" applyFill="1" applyBorder="1" applyAlignment="1">
      <alignment vertical="center" wrapText="1"/>
    </xf>
    <xf numFmtId="3" fontId="24" fillId="6" borderId="8" xfId="0" applyNumberFormat="1" applyFont="1" applyFill="1" applyBorder="1" applyAlignment="1">
      <alignment vertical="center" wrapText="1"/>
    </xf>
    <xf numFmtId="0" fontId="18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41" fontId="24" fillId="0" borderId="0" xfId="2" applyFont="1"/>
    <xf numFmtId="41" fontId="24" fillId="4" borderId="8" xfId="2" applyFont="1" applyFill="1" applyBorder="1" applyAlignment="1">
      <alignment horizontal="center" vertical="center"/>
    </xf>
    <xf numFmtId="41" fontId="20" fillId="0" borderId="8" xfId="2" applyFont="1" applyBorder="1" applyAlignment="1">
      <alignment horizontal="right" vertical="center" wrapText="1"/>
    </xf>
    <xf numFmtId="41" fontId="22" fillId="0" borderId="8" xfId="2" applyFont="1" applyBorder="1" applyAlignment="1">
      <alignment horizontal="right" vertical="center" wrapText="1"/>
    </xf>
    <xf numFmtId="41" fontId="20" fillId="6" borderId="8" xfId="2" applyFont="1" applyFill="1" applyBorder="1" applyAlignment="1">
      <alignment horizontal="right" vertical="center" wrapText="1"/>
    </xf>
    <xf numFmtId="41" fontId="24" fillId="6" borderId="8" xfId="2" applyFont="1" applyFill="1" applyBorder="1"/>
    <xf numFmtId="41" fontId="3" fillId="0" borderId="0" xfId="2" applyFont="1"/>
    <xf numFmtId="0" fontId="10" fillId="5" borderId="3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/>
    </xf>
    <xf numFmtId="0" fontId="26" fillId="3" borderId="0" xfId="0" applyFont="1" applyFill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27" fillId="5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27" fillId="5" borderId="10" xfId="0" applyFont="1" applyFill="1" applyBorder="1" applyAlignment="1">
      <alignment horizontal="center" vertical="center" wrapText="1"/>
    </xf>
    <xf numFmtId="0" fontId="27" fillId="5" borderId="11" xfId="0" applyFont="1" applyFill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1" xfId="0" applyFont="1" applyFill="1" applyBorder="1" applyAlignment="1">
      <alignment horizontal="center" vertical="center" wrapText="1"/>
    </xf>
    <xf numFmtId="0" fontId="18" fillId="4" borderId="12" xfId="0" applyFont="1" applyFill="1" applyBorder="1" applyAlignment="1">
      <alignment horizontal="center" vertical="center" wrapText="1"/>
    </xf>
    <xf numFmtId="0" fontId="23" fillId="7" borderId="7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0" fillId="0" borderId="9" xfId="0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310951</xdr:colOff>
      <xdr:row>0</xdr:row>
      <xdr:rowOff>28576</xdr:rowOff>
    </xdr:from>
    <xdr:to>
      <xdr:col>1</xdr:col>
      <xdr:colOff>2476501</xdr:colOff>
      <xdr:row>4</xdr:row>
      <xdr:rowOff>254000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0C556-4A2F-964F-8368-40A56F442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551" y="28576"/>
          <a:ext cx="2279850" cy="974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310951</xdr:colOff>
      <xdr:row>0</xdr:row>
      <xdr:rowOff>28576</xdr:rowOff>
    </xdr:from>
    <xdr:to>
      <xdr:col>1</xdr:col>
      <xdr:colOff>2362201</xdr:colOff>
      <xdr:row>4</xdr:row>
      <xdr:rowOff>246275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051" y="28576"/>
          <a:ext cx="1822650" cy="10527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310951</xdr:colOff>
      <xdr:row>0</xdr:row>
      <xdr:rowOff>28577</xdr:rowOff>
    </xdr:from>
    <xdr:to>
      <xdr:col>1</xdr:col>
      <xdr:colOff>2286001</xdr:colOff>
      <xdr:row>4</xdr:row>
      <xdr:rowOff>546101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9C024-AF2F-BF44-89F9-C49E9E384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551" y="28577"/>
          <a:ext cx="1975050" cy="13557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310951</xdr:colOff>
      <xdr:row>0</xdr:row>
      <xdr:rowOff>28577</xdr:rowOff>
    </xdr:from>
    <xdr:to>
      <xdr:col>1</xdr:col>
      <xdr:colOff>2209801</xdr:colOff>
      <xdr:row>5</xdr:row>
      <xdr:rowOff>25401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4D454-59C1-204F-9A03-755CFA59F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551" y="28577"/>
          <a:ext cx="1975050" cy="949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310951</xdr:colOff>
      <xdr:row>0</xdr:row>
      <xdr:rowOff>28577</xdr:rowOff>
    </xdr:from>
    <xdr:to>
      <xdr:col>1</xdr:col>
      <xdr:colOff>2209801</xdr:colOff>
      <xdr:row>4</xdr:row>
      <xdr:rowOff>393700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9A703-A73E-9948-A68A-634941466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551" y="28577"/>
          <a:ext cx="1898850" cy="12033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28576</xdr:rowOff>
    </xdr:from>
    <xdr:to>
      <xdr:col>1</xdr:col>
      <xdr:colOff>2362201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576"/>
          <a:ext cx="2847976" cy="9905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ownloads\B&#7842;NG%20GI&#193;%20CHUNG%20TH&#193;NG%2012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áo giá tổng hợp"/>
      <sheetName val="Import KIOTV"/>
      <sheetName val="chăn ga gối"/>
      <sheetName val="Hàng gđ"/>
      <sheetName val="HH full"/>
      <sheetName val="Sheet1"/>
      <sheetName val="NVKD"/>
      <sheetName val="Sheet2"/>
      <sheetName val="Sheet3"/>
      <sheetName val="Sheet4"/>
      <sheetName val="Sheet5"/>
      <sheetName val="DMĐT Misa mẫu"/>
      <sheetName val="DMĐT M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 t="str">
            <v>RS1102</v>
          </cell>
          <cell r="D2" t="str">
            <v>Cái</v>
          </cell>
          <cell r="E2">
            <v>240000</v>
          </cell>
          <cell r="F2">
            <v>350000</v>
          </cell>
          <cell r="G2">
            <v>280000</v>
          </cell>
          <cell r="H2">
            <v>190000</v>
          </cell>
          <cell r="I2">
            <v>297500</v>
          </cell>
          <cell r="J2">
            <v>155000</v>
          </cell>
          <cell r="K2">
            <v>280000</v>
          </cell>
        </row>
        <row r="3">
          <cell r="C3" t="str">
            <v>RS1122</v>
          </cell>
          <cell r="D3" t="str">
            <v>Cái</v>
          </cell>
          <cell r="E3">
            <v>255000</v>
          </cell>
          <cell r="F3">
            <v>365000</v>
          </cell>
          <cell r="G3">
            <v>292000</v>
          </cell>
          <cell r="H3">
            <v>200000</v>
          </cell>
          <cell r="I3">
            <v>310250</v>
          </cell>
          <cell r="J3">
            <v>165000</v>
          </cell>
          <cell r="K3">
            <v>290000</v>
          </cell>
        </row>
        <row r="4">
          <cell r="C4" t="str">
            <v>RS1142</v>
          </cell>
          <cell r="D4" t="str">
            <v>Cái</v>
          </cell>
          <cell r="E4">
            <v>270000</v>
          </cell>
          <cell r="F4">
            <v>380000</v>
          </cell>
          <cell r="G4">
            <v>304000</v>
          </cell>
          <cell r="H4">
            <v>210000</v>
          </cell>
          <cell r="I4">
            <v>323000</v>
          </cell>
          <cell r="J4">
            <v>175000</v>
          </cell>
          <cell r="K4">
            <v>300000</v>
          </cell>
        </row>
        <row r="5">
          <cell r="C5" t="str">
            <v>RS1162</v>
          </cell>
          <cell r="D5" t="str">
            <v>Cái</v>
          </cell>
          <cell r="E5">
            <v>290000</v>
          </cell>
          <cell r="F5">
            <v>400000</v>
          </cell>
          <cell r="G5">
            <v>320000</v>
          </cell>
          <cell r="H5">
            <v>230000</v>
          </cell>
          <cell r="I5">
            <v>340000</v>
          </cell>
          <cell r="J5">
            <v>195000</v>
          </cell>
          <cell r="K5">
            <v>320000</v>
          </cell>
        </row>
        <row r="6">
          <cell r="C6" t="str">
            <v>RS1182</v>
          </cell>
          <cell r="D6" t="str">
            <v>Cái</v>
          </cell>
          <cell r="E6">
            <v>330000</v>
          </cell>
          <cell r="F6">
            <v>440000</v>
          </cell>
          <cell r="G6">
            <v>352000</v>
          </cell>
          <cell r="H6">
            <v>260000</v>
          </cell>
          <cell r="I6">
            <v>374000</v>
          </cell>
          <cell r="J6">
            <v>225000</v>
          </cell>
          <cell r="K6">
            <v>350000</v>
          </cell>
        </row>
        <row r="7">
          <cell r="C7" t="str">
            <v>RS1222</v>
          </cell>
          <cell r="D7" t="str">
            <v>Cái</v>
          </cell>
          <cell r="E7">
            <v>400000</v>
          </cell>
          <cell r="F7">
            <v>510000</v>
          </cell>
          <cell r="G7">
            <v>408000</v>
          </cell>
          <cell r="H7">
            <v>320000</v>
          </cell>
          <cell r="I7">
            <v>433500</v>
          </cell>
          <cell r="J7">
            <v>285000</v>
          </cell>
          <cell r="K7">
            <v>410000</v>
          </cell>
        </row>
        <row r="8">
          <cell r="C8" t="str">
            <v>RS1103</v>
          </cell>
          <cell r="D8" t="str">
            <v>Cái</v>
          </cell>
          <cell r="E8">
            <v>270000</v>
          </cell>
          <cell r="F8">
            <v>380000</v>
          </cell>
          <cell r="G8">
            <v>304000</v>
          </cell>
          <cell r="H8">
            <v>210000</v>
          </cell>
          <cell r="I8">
            <v>323000</v>
          </cell>
          <cell r="J8">
            <v>175000</v>
          </cell>
          <cell r="K8">
            <v>300000</v>
          </cell>
        </row>
        <row r="9">
          <cell r="C9" t="str">
            <v>RS1123</v>
          </cell>
          <cell r="D9" t="str">
            <v>Cái</v>
          </cell>
          <cell r="E9">
            <v>285000</v>
          </cell>
          <cell r="F9">
            <v>395000</v>
          </cell>
          <cell r="G9">
            <v>316000</v>
          </cell>
          <cell r="H9">
            <v>220000</v>
          </cell>
          <cell r="I9">
            <v>335750</v>
          </cell>
          <cell r="J9">
            <v>185000</v>
          </cell>
          <cell r="K9">
            <v>310000</v>
          </cell>
        </row>
        <row r="10">
          <cell r="C10" t="str">
            <v>RS1143</v>
          </cell>
          <cell r="D10" t="str">
            <v>Cái</v>
          </cell>
          <cell r="E10">
            <v>300000</v>
          </cell>
          <cell r="F10">
            <v>410000</v>
          </cell>
          <cell r="G10">
            <v>328000</v>
          </cell>
          <cell r="H10">
            <v>230000</v>
          </cell>
          <cell r="I10">
            <v>348500</v>
          </cell>
          <cell r="J10">
            <v>195000</v>
          </cell>
          <cell r="K10">
            <v>320000</v>
          </cell>
        </row>
        <row r="11">
          <cell r="C11" t="str">
            <v>RS1163</v>
          </cell>
          <cell r="D11" t="str">
            <v>Cái</v>
          </cell>
          <cell r="E11">
            <v>320000</v>
          </cell>
          <cell r="F11">
            <v>430000</v>
          </cell>
          <cell r="G11">
            <v>344000</v>
          </cell>
          <cell r="H11">
            <v>250000</v>
          </cell>
          <cell r="I11">
            <v>365500</v>
          </cell>
          <cell r="J11">
            <v>215000</v>
          </cell>
          <cell r="K11">
            <v>340000</v>
          </cell>
        </row>
        <row r="12">
          <cell r="C12" t="str">
            <v>RS1183</v>
          </cell>
          <cell r="D12" t="str">
            <v>Cái</v>
          </cell>
          <cell r="E12">
            <v>360000</v>
          </cell>
          <cell r="F12">
            <v>470000</v>
          </cell>
          <cell r="G12">
            <v>376000</v>
          </cell>
          <cell r="H12">
            <v>280000</v>
          </cell>
          <cell r="I12">
            <v>399500</v>
          </cell>
          <cell r="J12">
            <v>245000</v>
          </cell>
          <cell r="K12">
            <v>370000</v>
          </cell>
        </row>
        <row r="13">
          <cell r="C13" t="str">
            <v>RS1223</v>
          </cell>
          <cell r="D13" t="str">
            <v>Cái</v>
          </cell>
          <cell r="E13">
            <v>425000</v>
          </cell>
          <cell r="F13">
            <v>535000</v>
          </cell>
          <cell r="G13">
            <v>428000</v>
          </cell>
          <cell r="H13">
            <v>340000</v>
          </cell>
          <cell r="I13">
            <v>454750</v>
          </cell>
          <cell r="J13">
            <v>305000</v>
          </cell>
          <cell r="K13">
            <v>430000</v>
          </cell>
        </row>
        <row r="14">
          <cell r="C14" t="str">
            <v>RS1104</v>
          </cell>
          <cell r="D14" t="str">
            <v>Cái</v>
          </cell>
          <cell r="H14">
            <v>230000</v>
          </cell>
          <cell r="J14">
            <v>195000</v>
          </cell>
        </row>
        <row r="15">
          <cell r="C15" t="str">
            <v>RS1124</v>
          </cell>
          <cell r="D15" t="str">
            <v>Cái</v>
          </cell>
          <cell r="H15">
            <v>240000</v>
          </cell>
          <cell r="J15">
            <v>205000</v>
          </cell>
        </row>
        <row r="16">
          <cell r="C16" t="str">
            <v>RS1144</v>
          </cell>
          <cell r="D16" t="str">
            <v>Cái</v>
          </cell>
          <cell r="H16">
            <v>250000</v>
          </cell>
          <cell r="J16">
            <v>215000</v>
          </cell>
        </row>
        <row r="17">
          <cell r="C17" t="str">
            <v>RS1164</v>
          </cell>
          <cell r="D17" t="str">
            <v>Cái</v>
          </cell>
          <cell r="H17">
            <v>270000</v>
          </cell>
          <cell r="J17">
            <v>235000</v>
          </cell>
        </row>
        <row r="18">
          <cell r="C18" t="str">
            <v>RS1184</v>
          </cell>
          <cell r="D18" t="str">
            <v>Cái</v>
          </cell>
          <cell r="H18">
            <v>300000</v>
          </cell>
          <cell r="J18">
            <v>265000</v>
          </cell>
        </row>
        <row r="19">
          <cell r="C19" t="str">
            <v>RS1224</v>
          </cell>
          <cell r="D19" t="str">
            <v>Cái</v>
          </cell>
          <cell r="H19">
            <v>360000</v>
          </cell>
          <cell r="J19">
            <v>325000</v>
          </cell>
        </row>
        <row r="20">
          <cell r="C20" t="str">
            <v>RS1VC1620</v>
          </cell>
          <cell r="D20" t="str">
            <v>Cái</v>
          </cell>
          <cell r="E20">
            <v>440000</v>
          </cell>
          <cell r="G20">
            <v>352000</v>
          </cell>
          <cell r="H20">
            <v>350000</v>
          </cell>
          <cell r="I20">
            <v>374000</v>
          </cell>
          <cell r="J20">
            <v>300000</v>
          </cell>
        </row>
        <row r="21">
          <cell r="C21" t="str">
            <v>RS1VC1820</v>
          </cell>
          <cell r="D21" t="str">
            <v>Cái</v>
          </cell>
          <cell r="E21">
            <v>470000</v>
          </cell>
          <cell r="G21">
            <v>376000</v>
          </cell>
          <cell r="H21">
            <v>370000</v>
          </cell>
          <cell r="I21">
            <v>399500</v>
          </cell>
          <cell r="J21">
            <v>320000</v>
          </cell>
        </row>
        <row r="22">
          <cell r="C22" t="str">
            <v>RS1VC2220</v>
          </cell>
          <cell r="D22" t="str">
            <v>Cái</v>
          </cell>
          <cell r="E22">
            <v>530000</v>
          </cell>
          <cell r="G22">
            <v>424000</v>
          </cell>
          <cell r="H22">
            <v>420000</v>
          </cell>
          <cell r="I22">
            <v>450500</v>
          </cell>
          <cell r="J22">
            <v>370000</v>
          </cell>
        </row>
        <row r="23">
          <cell r="C23" t="str">
            <v>RS1VC2224</v>
          </cell>
          <cell r="D23" t="str">
            <v>Cái</v>
          </cell>
          <cell r="E23">
            <v>590000</v>
          </cell>
          <cell r="G23">
            <v>472000</v>
          </cell>
          <cell r="H23">
            <v>470000</v>
          </cell>
          <cell r="I23">
            <v>501500</v>
          </cell>
          <cell r="J23">
            <v>420000</v>
          </cell>
        </row>
        <row r="24">
          <cell r="C24" t="str">
            <v>RS1VC2424</v>
          </cell>
          <cell r="D24" t="str">
            <v>Cái</v>
          </cell>
          <cell r="E24">
            <v>630000</v>
          </cell>
          <cell r="G24">
            <v>504000</v>
          </cell>
          <cell r="H24">
            <v>500000</v>
          </cell>
          <cell r="I24">
            <v>535500</v>
          </cell>
          <cell r="J24">
            <v>450000</v>
          </cell>
        </row>
        <row r="25">
          <cell r="C25" t="str">
            <v>RS1VG68</v>
          </cell>
          <cell r="D25" t="str">
            <v>Cái</v>
          </cell>
          <cell r="E25">
            <v>65000</v>
          </cell>
          <cell r="G25">
            <v>52000</v>
          </cell>
          <cell r="H25">
            <v>52000</v>
          </cell>
          <cell r="I25">
            <v>55250</v>
          </cell>
          <cell r="J25">
            <v>42000</v>
          </cell>
        </row>
        <row r="26">
          <cell r="C26" t="str">
            <v>RS1VG57</v>
          </cell>
          <cell r="D26" t="str">
            <v>Cái</v>
          </cell>
          <cell r="E26">
            <v>60000</v>
          </cell>
          <cell r="G26">
            <v>48000</v>
          </cell>
          <cell r="H26">
            <v>48000</v>
          </cell>
          <cell r="I26">
            <v>51000</v>
          </cell>
          <cell r="J26">
            <v>38000</v>
          </cell>
        </row>
        <row r="27">
          <cell r="C27" t="str">
            <v>RS1VG46</v>
          </cell>
          <cell r="D27" t="str">
            <v>Cái</v>
          </cell>
          <cell r="E27">
            <v>55000</v>
          </cell>
          <cell r="G27">
            <v>44000</v>
          </cell>
          <cell r="H27">
            <v>44000</v>
          </cell>
          <cell r="I27">
            <v>46750</v>
          </cell>
          <cell r="J27">
            <v>34000</v>
          </cell>
        </row>
        <row r="28">
          <cell r="C28" t="str">
            <v>RS1VG35</v>
          </cell>
          <cell r="D28" t="str">
            <v>Cái</v>
          </cell>
          <cell r="E28">
            <v>90000</v>
          </cell>
          <cell r="G28">
            <v>72000</v>
          </cell>
          <cell r="H28">
            <v>70000</v>
          </cell>
          <cell r="I28">
            <v>76500</v>
          </cell>
          <cell r="J28">
            <v>50000</v>
          </cell>
        </row>
        <row r="29">
          <cell r="C29" t="str">
            <v>RT1102</v>
          </cell>
          <cell r="D29" t="str">
            <v>Cái</v>
          </cell>
          <cell r="E29">
            <v>225000</v>
          </cell>
          <cell r="F29">
            <v>325000</v>
          </cell>
          <cell r="G29">
            <v>260000</v>
          </cell>
          <cell r="H29">
            <v>180000</v>
          </cell>
          <cell r="I29">
            <v>276250</v>
          </cell>
          <cell r="J29">
            <v>140000</v>
          </cell>
          <cell r="K29">
            <v>260000</v>
          </cell>
        </row>
        <row r="30">
          <cell r="C30" t="str">
            <v>RT1122</v>
          </cell>
          <cell r="D30" t="str">
            <v>Cái</v>
          </cell>
          <cell r="E30">
            <v>240000</v>
          </cell>
          <cell r="F30">
            <v>340000</v>
          </cell>
          <cell r="G30">
            <v>272000</v>
          </cell>
          <cell r="H30">
            <v>190000</v>
          </cell>
          <cell r="I30">
            <v>289000</v>
          </cell>
          <cell r="J30">
            <v>150000</v>
          </cell>
          <cell r="K30">
            <v>270000</v>
          </cell>
        </row>
        <row r="31">
          <cell r="C31" t="str">
            <v>RT1142</v>
          </cell>
          <cell r="D31" t="str">
            <v>Cái</v>
          </cell>
          <cell r="E31">
            <v>255000</v>
          </cell>
          <cell r="F31">
            <v>355000</v>
          </cell>
          <cell r="G31">
            <v>284000</v>
          </cell>
          <cell r="H31">
            <v>200000</v>
          </cell>
          <cell r="I31">
            <v>301750</v>
          </cell>
          <cell r="J31">
            <v>160000</v>
          </cell>
          <cell r="K31">
            <v>280000</v>
          </cell>
        </row>
        <row r="32">
          <cell r="C32" t="str">
            <v>RT1162</v>
          </cell>
          <cell r="D32" t="str">
            <v>Cái</v>
          </cell>
          <cell r="E32">
            <v>275000</v>
          </cell>
          <cell r="F32">
            <v>375000</v>
          </cell>
          <cell r="G32">
            <v>300000</v>
          </cell>
          <cell r="H32">
            <v>220000</v>
          </cell>
          <cell r="I32">
            <v>318750</v>
          </cell>
          <cell r="J32">
            <v>180000</v>
          </cell>
          <cell r="K32">
            <v>300000</v>
          </cell>
        </row>
        <row r="33">
          <cell r="C33" t="str">
            <v>RT1182</v>
          </cell>
          <cell r="D33" t="str">
            <v>Cái</v>
          </cell>
          <cell r="E33">
            <v>314000</v>
          </cell>
          <cell r="F33">
            <v>414000</v>
          </cell>
          <cell r="G33">
            <v>331200</v>
          </cell>
          <cell r="H33">
            <v>250000</v>
          </cell>
          <cell r="I33">
            <v>351900</v>
          </cell>
          <cell r="J33">
            <v>210000</v>
          </cell>
          <cell r="K33">
            <v>330000</v>
          </cell>
        </row>
        <row r="34">
          <cell r="C34" t="str">
            <v>RT1222</v>
          </cell>
          <cell r="D34" t="str">
            <v>Cái</v>
          </cell>
          <cell r="E34">
            <v>390000</v>
          </cell>
          <cell r="F34">
            <v>490000</v>
          </cell>
          <cell r="G34">
            <v>392000</v>
          </cell>
          <cell r="H34">
            <v>310000</v>
          </cell>
          <cell r="I34">
            <v>416500</v>
          </cell>
          <cell r="J34">
            <v>270000</v>
          </cell>
          <cell r="K34">
            <v>370000</v>
          </cell>
        </row>
        <row r="35">
          <cell r="C35" t="str">
            <v>RT1103</v>
          </cell>
          <cell r="D35" t="str">
            <v>Cái</v>
          </cell>
          <cell r="E35">
            <v>250000</v>
          </cell>
          <cell r="F35">
            <v>350000</v>
          </cell>
          <cell r="G35">
            <v>280000</v>
          </cell>
          <cell r="H35">
            <v>200000</v>
          </cell>
          <cell r="I35">
            <v>297500</v>
          </cell>
          <cell r="J35">
            <v>160000</v>
          </cell>
          <cell r="K35">
            <v>280000</v>
          </cell>
        </row>
        <row r="36">
          <cell r="C36" t="str">
            <v>RT1123</v>
          </cell>
          <cell r="D36" t="str">
            <v>Cái</v>
          </cell>
          <cell r="E36">
            <v>265000</v>
          </cell>
          <cell r="F36">
            <v>365000</v>
          </cell>
          <cell r="G36">
            <v>292000</v>
          </cell>
          <cell r="H36">
            <v>210000</v>
          </cell>
          <cell r="I36">
            <v>310250</v>
          </cell>
          <cell r="J36">
            <v>170000</v>
          </cell>
          <cell r="K36">
            <v>290000</v>
          </cell>
        </row>
        <row r="37">
          <cell r="C37" t="str">
            <v>RT1143</v>
          </cell>
          <cell r="D37" t="str">
            <v>Cái</v>
          </cell>
          <cell r="E37">
            <v>280000</v>
          </cell>
          <cell r="F37">
            <v>380000</v>
          </cell>
          <cell r="G37">
            <v>304000</v>
          </cell>
          <cell r="H37">
            <v>220000</v>
          </cell>
          <cell r="I37">
            <v>323000</v>
          </cell>
          <cell r="J37">
            <v>180000</v>
          </cell>
          <cell r="K37">
            <v>300000</v>
          </cell>
        </row>
        <row r="38">
          <cell r="C38" t="str">
            <v>RT1163</v>
          </cell>
          <cell r="D38" t="str">
            <v>Cái</v>
          </cell>
          <cell r="E38">
            <v>300000</v>
          </cell>
          <cell r="F38">
            <v>400000</v>
          </cell>
          <cell r="G38">
            <v>320000</v>
          </cell>
          <cell r="H38">
            <v>240000</v>
          </cell>
          <cell r="I38">
            <v>340000</v>
          </cell>
          <cell r="J38">
            <v>200000</v>
          </cell>
          <cell r="K38">
            <v>320000</v>
          </cell>
        </row>
        <row r="39">
          <cell r="C39" t="str">
            <v>RT1183</v>
          </cell>
          <cell r="D39" t="str">
            <v>Cái</v>
          </cell>
          <cell r="E39">
            <v>340000</v>
          </cell>
          <cell r="F39">
            <v>440000</v>
          </cell>
          <cell r="G39">
            <v>352000</v>
          </cell>
          <cell r="H39">
            <v>270000</v>
          </cell>
          <cell r="I39">
            <v>374000</v>
          </cell>
          <cell r="J39">
            <v>230000</v>
          </cell>
          <cell r="K39">
            <v>350000</v>
          </cell>
        </row>
        <row r="40">
          <cell r="C40" t="str">
            <v>RT1223</v>
          </cell>
          <cell r="D40" t="str">
            <v>Cái</v>
          </cell>
          <cell r="E40">
            <v>413000</v>
          </cell>
          <cell r="F40">
            <v>513000</v>
          </cell>
          <cell r="G40">
            <v>410400</v>
          </cell>
          <cell r="H40">
            <v>330000</v>
          </cell>
          <cell r="I40">
            <v>436050</v>
          </cell>
          <cell r="J40">
            <v>290000</v>
          </cell>
          <cell r="K40">
            <v>400000</v>
          </cell>
        </row>
        <row r="41">
          <cell r="C41" t="str">
            <v>RT1104</v>
          </cell>
          <cell r="D41" t="str">
            <v>Cái</v>
          </cell>
          <cell r="H41">
            <v>220000</v>
          </cell>
          <cell r="J41">
            <v>180000</v>
          </cell>
          <cell r="K41">
            <v>280000</v>
          </cell>
        </row>
        <row r="42">
          <cell r="C42" t="str">
            <v>RT1124</v>
          </cell>
          <cell r="D42" t="str">
            <v>Cái</v>
          </cell>
          <cell r="H42">
            <v>230000</v>
          </cell>
          <cell r="J42">
            <v>190000</v>
          </cell>
          <cell r="K42">
            <v>290000</v>
          </cell>
        </row>
        <row r="43">
          <cell r="C43" t="str">
            <v>RT1144</v>
          </cell>
          <cell r="D43" t="str">
            <v>Cái</v>
          </cell>
          <cell r="H43">
            <v>240000</v>
          </cell>
          <cell r="J43">
            <v>200000</v>
          </cell>
          <cell r="K43">
            <v>300000</v>
          </cell>
        </row>
        <row r="44">
          <cell r="C44" t="str">
            <v>RT1164</v>
          </cell>
          <cell r="D44" t="str">
            <v>Cái</v>
          </cell>
          <cell r="H44">
            <v>260000</v>
          </cell>
          <cell r="J44">
            <v>220000</v>
          </cell>
          <cell r="K44">
            <v>320000</v>
          </cell>
        </row>
        <row r="45">
          <cell r="C45" t="str">
            <v>RT1184</v>
          </cell>
          <cell r="D45" t="str">
            <v>Cái</v>
          </cell>
          <cell r="H45">
            <v>290000</v>
          </cell>
          <cell r="J45">
            <v>250000</v>
          </cell>
          <cell r="K45">
            <v>350000</v>
          </cell>
        </row>
        <row r="46">
          <cell r="C46" t="str">
            <v>RT1224</v>
          </cell>
          <cell r="D46" t="str">
            <v>Cái</v>
          </cell>
          <cell r="H46">
            <v>350000</v>
          </cell>
          <cell r="J46">
            <v>310000</v>
          </cell>
          <cell r="K46">
            <v>400000</v>
          </cell>
        </row>
        <row r="47">
          <cell r="C47" t="str">
            <v>RT1VC1620</v>
          </cell>
          <cell r="D47" t="str">
            <v>Cái</v>
          </cell>
          <cell r="E47">
            <v>420000</v>
          </cell>
          <cell r="G47">
            <v>336000</v>
          </cell>
          <cell r="H47">
            <v>330000</v>
          </cell>
          <cell r="I47">
            <v>357000</v>
          </cell>
          <cell r="J47">
            <v>280000</v>
          </cell>
        </row>
        <row r="48">
          <cell r="C48" t="str">
            <v>RT1VC1820</v>
          </cell>
          <cell r="D48" t="str">
            <v>Cái</v>
          </cell>
          <cell r="E48">
            <v>440000</v>
          </cell>
          <cell r="G48">
            <v>352000</v>
          </cell>
          <cell r="H48">
            <v>350000</v>
          </cell>
          <cell r="I48">
            <v>374000</v>
          </cell>
          <cell r="J48">
            <v>300000</v>
          </cell>
        </row>
        <row r="49">
          <cell r="C49" t="str">
            <v>RT1VC2220</v>
          </cell>
          <cell r="D49" t="str">
            <v>Cái</v>
          </cell>
          <cell r="E49">
            <v>490000</v>
          </cell>
          <cell r="G49">
            <v>392000</v>
          </cell>
          <cell r="H49">
            <v>390000</v>
          </cell>
          <cell r="I49">
            <v>416500</v>
          </cell>
          <cell r="J49">
            <v>340000</v>
          </cell>
        </row>
        <row r="50">
          <cell r="C50" t="str">
            <v>RT1VC2224</v>
          </cell>
          <cell r="D50" t="str">
            <v>Cái</v>
          </cell>
          <cell r="E50">
            <v>540000</v>
          </cell>
          <cell r="G50">
            <v>432000</v>
          </cell>
          <cell r="H50">
            <v>430000</v>
          </cell>
          <cell r="I50">
            <v>459000</v>
          </cell>
          <cell r="J50">
            <v>380000</v>
          </cell>
        </row>
        <row r="51">
          <cell r="C51" t="str">
            <v>RT1VC2424</v>
          </cell>
          <cell r="D51" t="str">
            <v>Cái</v>
          </cell>
          <cell r="E51">
            <v>580000</v>
          </cell>
          <cell r="G51">
            <v>464000</v>
          </cell>
          <cell r="H51">
            <v>460000</v>
          </cell>
          <cell r="I51">
            <v>493000</v>
          </cell>
          <cell r="J51">
            <v>400000</v>
          </cell>
        </row>
        <row r="52">
          <cell r="C52" t="str">
            <v>RT1VG68</v>
          </cell>
          <cell r="D52" t="str">
            <v>Cái</v>
          </cell>
          <cell r="E52">
            <v>60000</v>
          </cell>
          <cell r="G52">
            <v>48000</v>
          </cell>
          <cell r="H52">
            <v>48000</v>
          </cell>
          <cell r="I52">
            <v>51000</v>
          </cell>
          <cell r="J52">
            <v>38000</v>
          </cell>
        </row>
        <row r="53">
          <cell r="C53" t="str">
            <v>RT1VG57</v>
          </cell>
          <cell r="D53" t="str">
            <v>Cái</v>
          </cell>
          <cell r="E53">
            <v>55000</v>
          </cell>
          <cell r="G53">
            <v>44000</v>
          </cell>
          <cell r="H53">
            <v>44000</v>
          </cell>
          <cell r="I53">
            <v>46750</v>
          </cell>
          <cell r="J53">
            <v>34000</v>
          </cell>
        </row>
        <row r="54">
          <cell r="C54" t="str">
            <v>RT1VG46</v>
          </cell>
          <cell r="D54" t="str">
            <v>Cái</v>
          </cell>
          <cell r="E54">
            <v>50000</v>
          </cell>
          <cell r="G54">
            <v>40000</v>
          </cell>
          <cell r="H54">
            <v>40000</v>
          </cell>
          <cell r="I54">
            <v>42500</v>
          </cell>
          <cell r="J54">
            <v>30000</v>
          </cell>
        </row>
        <row r="55">
          <cell r="C55" t="str">
            <v>RT1VG35</v>
          </cell>
          <cell r="D55" t="str">
            <v>Cái</v>
          </cell>
          <cell r="E55">
            <v>80000</v>
          </cell>
          <cell r="G55">
            <v>64000</v>
          </cell>
          <cell r="H55">
            <v>60000</v>
          </cell>
          <cell r="I55">
            <v>68000</v>
          </cell>
          <cell r="J55">
            <v>45000</v>
          </cell>
        </row>
        <row r="56">
          <cell r="C56" t="str">
            <v>CTSCB1820</v>
          </cell>
          <cell r="D56" t="str">
            <v>Cái</v>
          </cell>
          <cell r="E56">
            <v>490000</v>
          </cell>
          <cell r="G56">
            <v>392000</v>
          </cell>
          <cell r="H56">
            <v>390000</v>
          </cell>
          <cell r="I56">
            <v>416500</v>
          </cell>
          <cell r="J56">
            <v>340000</v>
          </cell>
        </row>
        <row r="57">
          <cell r="C57" t="str">
            <v>CTSCB2220</v>
          </cell>
          <cell r="D57" t="str">
            <v>Cái</v>
          </cell>
          <cell r="E57">
            <v>550000</v>
          </cell>
          <cell r="G57">
            <v>440000</v>
          </cell>
          <cell r="H57">
            <v>440000</v>
          </cell>
          <cell r="I57">
            <v>467500</v>
          </cell>
          <cell r="J57">
            <v>390000</v>
          </cell>
        </row>
        <row r="58">
          <cell r="C58" t="str">
            <v>CTSCB2224</v>
          </cell>
          <cell r="D58" t="str">
            <v>Cái</v>
          </cell>
          <cell r="E58">
            <v>600000</v>
          </cell>
          <cell r="G58">
            <v>480000</v>
          </cell>
          <cell r="H58">
            <v>480000</v>
          </cell>
          <cell r="I58">
            <v>510000</v>
          </cell>
          <cell r="J58">
            <v>440000</v>
          </cell>
        </row>
        <row r="59">
          <cell r="C59" t="str">
            <v>CTTCB1820</v>
          </cell>
          <cell r="D59" t="str">
            <v>Cái</v>
          </cell>
          <cell r="E59">
            <v>450000</v>
          </cell>
          <cell r="G59">
            <v>360000</v>
          </cell>
          <cell r="H59">
            <v>360000</v>
          </cell>
          <cell r="I59">
            <v>382500</v>
          </cell>
          <cell r="J59">
            <v>310000</v>
          </cell>
        </row>
        <row r="60">
          <cell r="C60" t="str">
            <v>CTTCB2220</v>
          </cell>
          <cell r="D60" t="str">
            <v>Cái</v>
          </cell>
          <cell r="E60">
            <v>500000</v>
          </cell>
          <cell r="G60">
            <v>400000</v>
          </cell>
          <cell r="H60">
            <v>400000</v>
          </cell>
          <cell r="I60">
            <v>425000</v>
          </cell>
          <cell r="J60">
            <v>350000</v>
          </cell>
        </row>
        <row r="61">
          <cell r="C61" t="str">
            <v>CTTCB2224</v>
          </cell>
          <cell r="D61" t="str">
            <v>Cái</v>
          </cell>
          <cell r="E61">
            <v>550000</v>
          </cell>
          <cell r="G61">
            <v>440000</v>
          </cell>
          <cell r="H61">
            <v>440000</v>
          </cell>
          <cell r="I61">
            <v>467500</v>
          </cell>
          <cell r="J61">
            <v>400000</v>
          </cell>
        </row>
        <row r="62">
          <cell r="C62" t="str">
            <v>RCH1620</v>
          </cell>
          <cell r="D62" t="str">
            <v>Cái</v>
          </cell>
          <cell r="E62">
            <v>280000</v>
          </cell>
          <cell r="G62">
            <v>224000</v>
          </cell>
          <cell r="H62">
            <v>230000</v>
          </cell>
          <cell r="I62">
            <v>238000</v>
          </cell>
          <cell r="J62">
            <v>180000</v>
          </cell>
        </row>
        <row r="63">
          <cell r="C63" t="str">
            <v>RCH1820</v>
          </cell>
          <cell r="D63" t="str">
            <v>Cái</v>
          </cell>
          <cell r="E63">
            <v>320000</v>
          </cell>
          <cell r="G63">
            <v>256000</v>
          </cell>
          <cell r="H63">
            <v>250000</v>
          </cell>
          <cell r="I63">
            <v>272000</v>
          </cell>
          <cell r="J63">
            <v>200000</v>
          </cell>
        </row>
        <row r="64">
          <cell r="C64" t="str">
            <v>RCH2220</v>
          </cell>
          <cell r="D64" t="str">
            <v>Cái</v>
          </cell>
          <cell r="E64">
            <v>360000</v>
          </cell>
          <cell r="G64">
            <v>288000</v>
          </cell>
          <cell r="H64">
            <v>280000</v>
          </cell>
          <cell r="I64">
            <v>306000</v>
          </cell>
          <cell r="J64">
            <v>240000</v>
          </cell>
        </row>
        <row r="65">
          <cell r="C65" t="str">
            <v>RCH2224</v>
          </cell>
          <cell r="D65" t="str">
            <v>Cái</v>
          </cell>
          <cell r="E65">
            <v>400000</v>
          </cell>
          <cell r="G65">
            <v>320000</v>
          </cell>
          <cell r="H65">
            <v>320000</v>
          </cell>
          <cell r="I65">
            <v>340000</v>
          </cell>
          <cell r="J65">
            <v>280000</v>
          </cell>
        </row>
        <row r="66">
          <cell r="C66" t="str">
            <v>RCH2424</v>
          </cell>
          <cell r="D66" t="str">
            <v>Cái</v>
          </cell>
          <cell r="E66">
            <v>430000</v>
          </cell>
          <cell r="G66">
            <v>344000</v>
          </cell>
          <cell r="H66">
            <v>340000</v>
          </cell>
          <cell r="I66">
            <v>365500</v>
          </cell>
          <cell r="J66">
            <v>300000</v>
          </cell>
        </row>
        <row r="67">
          <cell r="C67" t="str">
            <v>RCHKT1620</v>
          </cell>
          <cell r="D67" t="str">
            <v>Cái</v>
          </cell>
          <cell r="E67">
            <v>220000</v>
          </cell>
          <cell r="G67">
            <v>176000</v>
          </cell>
          <cell r="H67">
            <v>170000</v>
          </cell>
          <cell r="I67">
            <v>187000</v>
          </cell>
          <cell r="J67">
            <v>135000</v>
          </cell>
        </row>
        <row r="68">
          <cell r="C68" t="str">
            <v>RCHKT1820</v>
          </cell>
          <cell r="D68" t="str">
            <v>Cái</v>
          </cell>
          <cell r="E68">
            <v>240000</v>
          </cell>
          <cell r="G68">
            <v>192000</v>
          </cell>
          <cell r="H68">
            <v>190000</v>
          </cell>
          <cell r="I68">
            <v>204000</v>
          </cell>
          <cell r="J68">
            <v>145000</v>
          </cell>
        </row>
        <row r="69">
          <cell r="C69" t="str">
            <v>RCHKT2220</v>
          </cell>
          <cell r="D69" t="str">
            <v>Cái</v>
          </cell>
          <cell r="E69">
            <v>300000</v>
          </cell>
          <cell r="G69">
            <v>240000</v>
          </cell>
          <cell r="H69">
            <v>240000</v>
          </cell>
          <cell r="I69">
            <v>255000</v>
          </cell>
          <cell r="J69">
            <v>205000</v>
          </cell>
        </row>
        <row r="70">
          <cell r="C70" t="str">
            <v>RCHKT2224</v>
          </cell>
          <cell r="D70" t="str">
            <v>Cái</v>
          </cell>
          <cell r="E70">
            <v>350000</v>
          </cell>
          <cell r="G70">
            <v>280000</v>
          </cell>
          <cell r="H70">
            <v>280000</v>
          </cell>
          <cell r="I70">
            <v>297500</v>
          </cell>
          <cell r="J70">
            <v>235000</v>
          </cell>
        </row>
        <row r="71">
          <cell r="C71" t="str">
            <v>RMP1620</v>
          </cell>
          <cell r="D71" t="str">
            <v>Cái</v>
          </cell>
          <cell r="E71">
            <v>315000</v>
          </cell>
          <cell r="G71">
            <v>252000</v>
          </cell>
          <cell r="H71">
            <v>250000</v>
          </cell>
          <cell r="I71">
            <v>267750</v>
          </cell>
          <cell r="J71">
            <v>200000</v>
          </cell>
        </row>
        <row r="72">
          <cell r="C72" t="str">
            <v>RMP1820</v>
          </cell>
          <cell r="D72" t="str">
            <v>Cái</v>
          </cell>
          <cell r="E72">
            <v>340000</v>
          </cell>
          <cell r="G72">
            <v>272000</v>
          </cell>
          <cell r="H72">
            <v>270000</v>
          </cell>
          <cell r="I72">
            <v>289000</v>
          </cell>
          <cell r="J72">
            <v>220000</v>
          </cell>
        </row>
        <row r="73">
          <cell r="C73" t="str">
            <v>RMP2220</v>
          </cell>
          <cell r="D73" t="str">
            <v>Cái</v>
          </cell>
          <cell r="E73">
            <v>375000</v>
          </cell>
          <cell r="G73">
            <v>300000</v>
          </cell>
          <cell r="H73">
            <v>300000</v>
          </cell>
          <cell r="I73">
            <v>318750</v>
          </cell>
          <cell r="J73">
            <v>270000</v>
          </cell>
        </row>
        <row r="74">
          <cell r="C74" t="str">
            <v>RMP2224</v>
          </cell>
          <cell r="D74" t="str">
            <v>Cái</v>
          </cell>
          <cell r="E74">
            <v>430000</v>
          </cell>
          <cell r="G74">
            <v>344000</v>
          </cell>
          <cell r="H74">
            <v>340000</v>
          </cell>
          <cell r="I74">
            <v>365500</v>
          </cell>
          <cell r="J74">
            <v>300000</v>
          </cell>
        </row>
        <row r="75">
          <cell r="C75" t="str">
            <v>TPHA10</v>
          </cell>
          <cell r="D75" t="str">
            <v>Cái</v>
          </cell>
          <cell r="E75">
            <v>690000</v>
          </cell>
          <cell r="G75">
            <v>552000</v>
          </cell>
          <cell r="H75">
            <v>550000</v>
          </cell>
          <cell r="I75">
            <v>586500</v>
          </cell>
          <cell r="J75">
            <v>400000</v>
          </cell>
        </row>
        <row r="76">
          <cell r="C76" t="str">
            <v>TPHA12</v>
          </cell>
          <cell r="D76" t="str">
            <v>Cái</v>
          </cell>
          <cell r="E76">
            <v>760000</v>
          </cell>
          <cell r="G76">
            <v>608000</v>
          </cell>
          <cell r="H76">
            <v>600000</v>
          </cell>
          <cell r="I76">
            <v>646000</v>
          </cell>
          <cell r="J76">
            <v>440000</v>
          </cell>
        </row>
        <row r="77">
          <cell r="C77" t="str">
            <v>TPHA14</v>
          </cell>
          <cell r="D77" t="str">
            <v>Cái</v>
          </cell>
          <cell r="E77">
            <v>815000</v>
          </cell>
          <cell r="G77">
            <v>652000</v>
          </cell>
          <cell r="H77">
            <v>650000</v>
          </cell>
          <cell r="I77">
            <v>692750</v>
          </cell>
          <cell r="J77">
            <v>490000</v>
          </cell>
        </row>
        <row r="78">
          <cell r="C78" t="str">
            <v>TPHA16</v>
          </cell>
          <cell r="D78" t="str">
            <v>Cái</v>
          </cell>
          <cell r="E78">
            <v>875000</v>
          </cell>
          <cell r="G78">
            <v>700000</v>
          </cell>
          <cell r="H78">
            <v>700000</v>
          </cell>
          <cell r="I78">
            <v>743750</v>
          </cell>
          <cell r="J78">
            <v>550000</v>
          </cell>
        </row>
        <row r="79">
          <cell r="C79" t="str">
            <v>TPHA18</v>
          </cell>
          <cell r="D79" t="str">
            <v>Cái</v>
          </cell>
          <cell r="E79">
            <v>1000000</v>
          </cell>
          <cell r="G79">
            <v>800000</v>
          </cell>
          <cell r="H79">
            <v>800000</v>
          </cell>
          <cell r="I79">
            <v>850000</v>
          </cell>
          <cell r="J79">
            <v>650000</v>
          </cell>
        </row>
        <row r="80">
          <cell r="C80" t="str">
            <v>TPHA22</v>
          </cell>
          <cell r="D80" t="str">
            <v>Cái</v>
          </cell>
          <cell r="E80">
            <v>1250000</v>
          </cell>
          <cell r="G80">
            <v>1000000</v>
          </cell>
          <cell r="H80">
            <v>1000000</v>
          </cell>
          <cell r="I80">
            <v>1062500</v>
          </cell>
          <cell r="J80">
            <v>850000</v>
          </cell>
        </row>
        <row r="81">
          <cell r="C81" t="str">
            <v>BVN10</v>
          </cell>
          <cell r="D81" t="str">
            <v>Cái</v>
          </cell>
          <cell r="E81">
            <v>180000</v>
          </cell>
          <cell r="G81">
            <v>144000</v>
          </cell>
          <cell r="H81">
            <v>140000</v>
          </cell>
          <cell r="I81">
            <v>153000</v>
          </cell>
          <cell r="J81">
            <v>105000</v>
          </cell>
        </row>
        <row r="82">
          <cell r="C82" t="str">
            <v>BVN12</v>
          </cell>
          <cell r="D82" t="str">
            <v>Cái</v>
          </cell>
          <cell r="E82">
            <v>195000</v>
          </cell>
          <cell r="G82">
            <v>156000</v>
          </cell>
          <cell r="H82">
            <v>150000</v>
          </cell>
          <cell r="I82">
            <v>165750</v>
          </cell>
          <cell r="J82">
            <v>115000</v>
          </cell>
        </row>
        <row r="83">
          <cell r="C83" t="str">
            <v>BVN14</v>
          </cell>
          <cell r="D83" t="str">
            <v>Cái</v>
          </cell>
          <cell r="E83">
            <v>210000</v>
          </cell>
          <cell r="G83">
            <v>168000</v>
          </cell>
          <cell r="H83">
            <v>160000</v>
          </cell>
          <cell r="I83">
            <v>178500</v>
          </cell>
          <cell r="J83">
            <v>125000</v>
          </cell>
        </row>
        <row r="84">
          <cell r="C84" t="str">
            <v>BVN16</v>
          </cell>
          <cell r="D84" t="str">
            <v>Cái</v>
          </cell>
          <cell r="E84">
            <v>230000</v>
          </cell>
          <cell r="G84">
            <v>184000</v>
          </cell>
          <cell r="H84">
            <v>170000</v>
          </cell>
          <cell r="I84">
            <v>195500</v>
          </cell>
          <cell r="J84">
            <v>135000</v>
          </cell>
        </row>
        <row r="85">
          <cell r="C85" t="str">
            <v>BVN18</v>
          </cell>
          <cell r="D85" t="str">
            <v>Cái</v>
          </cell>
          <cell r="E85">
            <v>240000</v>
          </cell>
          <cell r="G85">
            <v>192000</v>
          </cell>
          <cell r="H85">
            <v>190000</v>
          </cell>
          <cell r="I85">
            <v>204000</v>
          </cell>
          <cell r="J85">
            <v>145000</v>
          </cell>
        </row>
        <row r="86">
          <cell r="C86" t="str">
            <v>BVN22</v>
          </cell>
          <cell r="D86" t="str">
            <v>Cái</v>
          </cell>
          <cell r="E86">
            <v>300000</v>
          </cell>
          <cell r="G86">
            <v>240000</v>
          </cell>
          <cell r="H86">
            <v>240000</v>
          </cell>
          <cell r="I86">
            <v>255000</v>
          </cell>
          <cell r="J86">
            <v>200000</v>
          </cell>
        </row>
        <row r="87">
          <cell r="C87" t="str">
            <v>BVNCT10</v>
          </cell>
          <cell r="D87" t="str">
            <v>Cái</v>
          </cell>
          <cell r="E87">
            <v>220000</v>
          </cell>
          <cell r="G87">
            <v>176000</v>
          </cell>
          <cell r="H87">
            <v>175000</v>
          </cell>
          <cell r="I87">
            <v>187000</v>
          </cell>
          <cell r="J87">
            <v>140000</v>
          </cell>
        </row>
        <row r="88">
          <cell r="C88" t="str">
            <v>BVNCT12</v>
          </cell>
          <cell r="D88" t="str">
            <v>Cái</v>
          </cell>
          <cell r="E88">
            <v>240000</v>
          </cell>
          <cell r="G88">
            <v>192000</v>
          </cell>
          <cell r="H88">
            <v>190000</v>
          </cell>
          <cell r="I88">
            <v>204000</v>
          </cell>
          <cell r="J88">
            <v>150000</v>
          </cell>
        </row>
        <row r="89">
          <cell r="C89" t="str">
            <v>BVNCT14</v>
          </cell>
          <cell r="D89" t="str">
            <v>Cái</v>
          </cell>
          <cell r="E89">
            <v>260000</v>
          </cell>
          <cell r="G89">
            <v>208000</v>
          </cell>
          <cell r="H89">
            <v>205000</v>
          </cell>
          <cell r="I89">
            <v>221000</v>
          </cell>
          <cell r="J89">
            <v>160000</v>
          </cell>
        </row>
        <row r="90">
          <cell r="C90" t="str">
            <v>BVNCT16</v>
          </cell>
          <cell r="D90" t="str">
            <v>Cái</v>
          </cell>
          <cell r="E90">
            <v>280000</v>
          </cell>
          <cell r="G90">
            <v>224000</v>
          </cell>
          <cell r="H90">
            <v>220000</v>
          </cell>
          <cell r="I90">
            <v>238000</v>
          </cell>
          <cell r="J90">
            <v>180000</v>
          </cell>
        </row>
        <row r="91">
          <cell r="C91" t="str">
            <v>BVNCT18</v>
          </cell>
          <cell r="D91" t="str">
            <v>Cái</v>
          </cell>
          <cell r="E91">
            <v>320000</v>
          </cell>
          <cell r="G91">
            <v>256000</v>
          </cell>
          <cell r="H91">
            <v>250000</v>
          </cell>
          <cell r="I91">
            <v>272000</v>
          </cell>
          <cell r="J91">
            <v>200000</v>
          </cell>
        </row>
        <row r="92">
          <cell r="C92" t="str">
            <v>BVNCT22</v>
          </cell>
          <cell r="D92" t="str">
            <v>Cái</v>
          </cell>
          <cell r="E92">
            <v>360000</v>
          </cell>
          <cell r="G92">
            <v>288000</v>
          </cell>
          <cell r="H92">
            <v>280000</v>
          </cell>
          <cell r="I92">
            <v>306000</v>
          </cell>
          <cell r="J92">
            <v>240000</v>
          </cell>
        </row>
        <row r="93">
          <cell r="C93" t="str">
            <v>GCT102</v>
          </cell>
          <cell r="D93" t="str">
            <v>Cái</v>
          </cell>
          <cell r="E93">
            <v>110000</v>
          </cell>
          <cell r="G93">
            <v>88000</v>
          </cell>
          <cell r="H93">
            <v>80000</v>
          </cell>
          <cell r="I93">
            <v>93500</v>
          </cell>
          <cell r="J93">
            <v>50000</v>
          </cell>
        </row>
        <row r="94">
          <cell r="C94" t="str">
            <v>GCT122</v>
          </cell>
          <cell r="D94" t="str">
            <v>Cái</v>
          </cell>
          <cell r="E94">
            <v>120000</v>
          </cell>
          <cell r="G94">
            <v>96000</v>
          </cell>
          <cell r="H94">
            <v>90000</v>
          </cell>
          <cell r="I94">
            <v>102000</v>
          </cell>
          <cell r="J94">
            <v>60000</v>
          </cell>
        </row>
        <row r="95">
          <cell r="C95" t="str">
            <v>GCT142</v>
          </cell>
          <cell r="D95" t="str">
            <v>Cái</v>
          </cell>
          <cell r="E95">
            <v>130000</v>
          </cell>
          <cell r="G95">
            <v>104000</v>
          </cell>
          <cell r="H95">
            <v>100000</v>
          </cell>
          <cell r="I95">
            <v>110500</v>
          </cell>
          <cell r="J95">
            <v>70000</v>
          </cell>
        </row>
        <row r="96">
          <cell r="C96" t="str">
            <v>GCT162</v>
          </cell>
          <cell r="D96" t="str">
            <v>Cái</v>
          </cell>
          <cell r="E96">
            <v>140000</v>
          </cell>
          <cell r="G96">
            <v>112000</v>
          </cell>
          <cell r="H96">
            <v>110000</v>
          </cell>
          <cell r="I96">
            <v>119000</v>
          </cell>
          <cell r="J96">
            <v>80000</v>
          </cell>
        </row>
        <row r="97">
          <cell r="C97" t="str">
            <v>GCT182</v>
          </cell>
          <cell r="D97" t="str">
            <v>Cái</v>
          </cell>
          <cell r="E97">
            <v>150000</v>
          </cell>
          <cell r="G97">
            <v>120000</v>
          </cell>
          <cell r="H97">
            <v>120000</v>
          </cell>
          <cell r="I97">
            <v>127500</v>
          </cell>
          <cell r="J97">
            <v>90000</v>
          </cell>
        </row>
        <row r="98">
          <cell r="C98" t="str">
            <v>GCT222</v>
          </cell>
          <cell r="D98" t="str">
            <v>Cái</v>
          </cell>
          <cell r="E98">
            <v>220000</v>
          </cell>
          <cell r="G98">
            <v>176000</v>
          </cell>
          <cell r="H98">
            <v>170000</v>
          </cell>
          <cell r="I98">
            <v>187000</v>
          </cell>
          <cell r="J98">
            <v>130000</v>
          </cell>
        </row>
        <row r="99">
          <cell r="C99" t="str">
            <v>GCT103</v>
          </cell>
          <cell r="D99" t="str">
            <v>Cái</v>
          </cell>
          <cell r="E99">
            <v>120000</v>
          </cell>
          <cell r="G99">
            <v>96000</v>
          </cell>
          <cell r="H99">
            <v>90000</v>
          </cell>
          <cell r="I99">
            <v>102000</v>
          </cell>
          <cell r="J99">
            <v>60000</v>
          </cell>
        </row>
        <row r="100">
          <cell r="C100" t="str">
            <v>GCT123</v>
          </cell>
          <cell r="D100" t="str">
            <v>Cái</v>
          </cell>
          <cell r="E100">
            <v>130000</v>
          </cell>
          <cell r="G100">
            <v>104000</v>
          </cell>
          <cell r="H100">
            <v>100000</v>
          </cell>
          <cell r="I100">
            <v>110500</v>
          </cell>
          <cell r="J100">
            <v>70000</v>
          </cell>
        </row>
        <row r="101">
          <cell r="C101" t="str">
            <v>GCT143</v>
          </cell>
          <cell r="D101" t="str">
            <v>Cái</v>
          </cell>
          <cell r="E101">
            <v>140000</v>
          </cell>
          <cell r="G101">
            <v>112000</v>
          </cell>
          <cell r="H101">
            <v>110000</v>
          </cell>
          <cell r="I101">
            <v>119000</v>
          </cell>
          <cell r="J101">
            <v>80000</v>
          </cell>
        </row>
        <row r="102">
          <cell r="C102" t="str">
            <v>GCT163</v>
          </cell>
          <cell r="D102" t="str">
            <v>Cái</v>
          </cell>
          <cell r="E102">
            <v>150000</v>
          </cell>
          <cell r="G102">
            <v>120000</v>
          </cell>
          <cell r="H102">
            <v>120000</v>
          </cell>
          <cell r="I102">
            <v>127500</v>
          </cell>
          <cell r="J102">
            <v>90000</v>
          </cell>
        </row>
        <row r="103">
          <cell r="C103" t="str">
            <v>GCT183</v>
          </cell>
          <cell r="D103" t="str">
            <v>Cái</v>
          </cell>
          <cell r="E103">
            <v>165000</v>
          </cell>
          <cell r="G103">
            <v>132000</v>
          </cell>
          <cell r="H103">
            <v>130000</v>
          </cell>
          <cell r="I103">
            <v>140250</v>
          </cell>
          <cell r="J103">
            <v>100000</v>
          </cell>
        </row>
        <row r="104">
          <cell r="C104" t="str">
            <v>GCT223</v>
          </cell>
          <cell r="D104" t="str">
            <v>Cái</v>
          </cell>
          <cell r="E104">
            <v>250000</v>
          </cell>
          <cell r="G104">
            <v>200000</v>
          </cell>
          <cell r="H104">
            <v>200000</v>
          </cell>
          <cell r="I104">
            <v>212500</v>
          </cell>
          <cell r="J104">
            <v>150000</v>
          </cell>
        </row>
        <row r="105">
          <cell r="C105" t="str">
            <v>VGCT57</v>
          </cell>
          <cell r="D105" t="str">
            <v>Cái</v>
          </cell>
          <cell r="E105">
            <v>48000</v>
          </cell>
          <cell r="G105">
            <v>38400</v>
          </cell>
          <cell r="H105">
            <v>35000</v>
          </cell>
          <cell r="I105">
            <v>40800</v>
          </cell>
          <cell r="J105">
            <v>22000</v>
          </cell>
        </row>
        <row r="106">
          <cell r="C106" t="str">
            <v>VGCT46</v>
          </cell>
          <cell r="D106" t="str">
            <v>Cái</v>
          </cell>
          <cell r="E106">
            <v>43000</v>
          </cell>
          <cell r="G106">
            <v>34400</v>
          </cell>
          <cell r="H106">
            <v>30000</v>
          </cell>
          <cell r="I106">
            <v>36550</v>
          </cell>
          <cell r="J106">
            <v>18000</v>
          </cell>
        </row>
        <row r="107">
          <cell r="C107" t="str">
            <v>VGCTO</v>
          </cell>
          <cell r="D107" t="str">
            <v>Cái</v>
          </cell>
          <cell r="E107">
            <v>80000</v>
          </cell>
          <cell r="G107">
            <v>64000</v>
          </cell>
          <cell r="H107">
            <v>60000</v>
          </cell>
          <cell r="I107">
            <v>68000</v>
          </cell>
          <cell r="J107">
            <v>40000</v>
          </cell>
        </row>
        <row r="108">
          <cell r="C108" t="str">
            <v>KM60</v>
          </cell>
          <cell r="D108" t="str">
            <v>Cái</v>
          </cell>
          <cell r="E108">
            <v>20000</v>
          </cell>
          <cell r="G108">
            <v>14000</v>
          </cell>
          <cell r="H108">
            <v>16000</v>
          </cell>
          <cell r="I108">
            <v>16000</v>
          </cell>
          <cell r="J108">
            <v>12000</v>
          </cell>
        </row>
        <row r="109">
          <cell r="C109" t="str">
            <v>KMSale</v>
          </cell>
          <cell r="D109" t="str">
            <v>Cái</v>
          </cell>
          <cell r="E109">
            <v>16000</v>
          </cell>
          <cell r="G109">
            <v>11200</v>
          </cell>
          <cell r="H109">
            <v>11000</v>
          </cell>
          <cell r="I109">
            <v>12800</v>
          </cell>
          <cell r="J109">
            <v>9000</v>
          </cell>
          <cell r="K109" t="str">
            <v>Giảm 9k</v>
          </cell>
        </row>
        <row r="110">
          <cell r="C110" t="str">
            <v>KM100</v>
          </cell>
          <cell r="D110" t="str">
            <v>Cái</v>
          </cell>
          <cell r="E110">
            <v>20000</v>
          </cell>
          <cell r="G110">
            <v>14000</v>
          </cell>
          <cell r="H110">
            <v>16000</v>
          </cell>
          <cell r="I110">
            <v>16000</v>
          </cell>
          <cell r="J110">
            <v>10000</v>
          </cell>
        </row>
        <row r="111">
          <cell r="C111" t="str">
            <v>KM100</v>
          </cell>
          <cell r="D111" t="str">
            <v>Cái</v>
          </cell>
          <cell r="E111">
            <v>20000</v>
          </cell>
          <cell r="G111">
            <v>14000</v>
          </cell>
          <cell r="H111">
            <v>16000</v>
          </cell>
          <cell r="I111">
            <v>16000</v>
          </cell>
          <cell r="J111">
            <v>10000</v>
          </cell>
        </row>
        <row r="112">
          <cell r="C112" t="str">
            <v>KM100</v>
          </cell>
          <cell r="D112" t="str">
            <v>Cái</v>
          </cell>
          <cell r="E112">
            <v>20000</v>
          </cell>
          <cell r="G112">
            <v>14000</v>
          </cell>
          <cell r="H112">
            <v>16000</v>
          </cell>
          <cell r="I112">
            <v>16000</v>
          </cell>
          <cell r="J112">
            <v>10000</v>
          </cell>
        </row>
        <row r="113">
          <cell r="C113" t="str">
            <v>KM140</v>
          </cell>
          <cell r="D113" t="str">
            <v>Cái</v>
          </cell>
          <cell r="E113">
            <v>35000</v>
          </cell>
          <cell r="G113">
            <v>24500</v>
          </cell>
          <cell r="H113">
            <v>24000</v>
          </cell>
          <cell r="I113">
            <v>28000</v>
          </cell>
          <cell r="J113">
            <v>18000</v>
          </cell>
        </row>
        <row r="114">
          <cell r="C114" t="str">
            <v>KT280</v>
          </cell>
          <cell r="D114" t="str">
            <v>Cái</v>
          </cell>
          <cell r="E114">
            <v>50000</v>
          </cell>
          <cell r="G114">
            <v>35000</v>
          </cell>
          <cell r="H114">
            <v>35000</v>
          </cell>
          <cell r="I114">
            <v>40000</v>
          </cell>
          <cell r="J114">
            <v>30000</v>
          </cell>
        </row>
        <row r="115">
          <cell r="C115" t="str">
            <v>KT310</v>
          </cell>
          <cell r="D115" t="str">
            <v>Cái</v>
          </cell>
          <cell r="E115">
            <v>69000</v>
          </cell>
          <cell r="G115">
            <v>48300</v>
          </cell>
          <cell r="H115">
            <v>48000</v>
          </cell>
          <cell r="I115">
            <v>55200</v>
          </cell>
          <cell r="J115">
            <v>38000</v>
          </cell>
        </row>
        <row r="116">
          <cell r="C116" t="str">
            <v>KT430</v>
          </cell>
          <cell r="D116" t="str">
            <v>Cái</v>
          </cell>
          <cell r="E116">
            <v>80000</v>
          </cell>
          <cell r="G116">
            <v>56000</v>
          </cell>
          <cell r="H116">
            <v>56000</v>
          </cell>
          <cell r="I116">
            <v>64000</v>
          </cell>
          <cell r="J116">
            <v>48000</v>
          </cell>
        </row>
        <row r="117">
          <cell r="C117" t="str">
            <v>KT500</v>
          </cell>
          <cell r="D117" t="str">
            <v>Cái</v>
          </cell>
          <cell r="E117">
            <v>95000</v>
          </cell>
          <cell r="G117">
            <v>66500</v>
          </cell>
          <cell r="H117">
            <v>65000</v>
          </cell>
          <cell r="I117">
            <v>76000</v>
          </cell>
          <cell r="J117">
            <v>57000</v>
          </cell>
        </row>
        <row r="118">
          <cell r="C118" t="str">
            <v>TC260T</v>
          </cell>
          <cell r="D118" t="str">
            <v>Cái</v>
          </cell>
          <cell r="E118">
            <v>43000</v>
          </cell>
          <cell r="G118">
            <v>30099.999999999996</v>
          </cell>
          <cell r="H118">
            <v>30000</v>
          </cell>
          <cell r="I118">
            <v>34400</v>
          </cell>
          <cell r="J118">
            <v>22000</v>
          </cell>
        </row>
        <row r="119">
          <cell r="C119" t="str">
            <v>TC260M</v>
          </cell>
          <cell r="D119" t="str">
            <v>Cái</v>
          </cell>
          <cell r="E119">
            <v>43000</v>
          </cell>
          <cell r="G119">
            <v>30099.999999999996</v>
          </cell>
          <cell r="H119">
            <v>30000</v>
          </cell>
          <cell r="I119">
            <v>34400</v>
          </cell>
          <cell r="J119">
            <v>22000</v>
          </cell>
        </row>
        <row r="120">
          <cell r="C120" t="str">
            <v>ACTL</v>
          </cell>
          <cell r="D120" t="str">
            <v>Cái</v>
          </cell>
          <cell r="E120">
            <v>350000</v>
          </cell>
          <cell r="G120">
            <v>244999.99999999997</v>
          </cell>
          <cell r="H120">
            <v>245000</v>
          </cell>
          <cell r="I120">
            <v>280000</v>
          </cell>
          <cell r="J120">
            <v>200000</v>
          </cell>
        </row>
        <row r="121">
          <cell r="C121" t="str">
            <v>ACTXL</v>
          </cell>
          <cell r="D121" t="str">
            <v>Cái</v>
          </cell>
          <cell r="E121">
            <v>363000</v>
          </cell>
          <cell r="G121">
            <v>254099.99999999997</v>
          </cell>
          <cell r="H121">
            <v>255000</v>
          </cell>
          <cell r="I121">
            <v>290400</v>
          </cell>
          <cell r="J121">
            <v>210000</v>
          </cell>
        </row>
        <row r="122">
          <cell r="C122" t="str">
            <v>RGVK46</v>
          </cell>
          <cell r="D122" t="str">
            <v>Cái</v>
          </cell>
          <cell r="E122">
            <v>80000</v>
          </cell>
          <cell r="G122">
            <v>56000</v>
          </cell>
          <cell r="H122">
            <v>55000</v>
          </cell>
          <cell r="I122">
            <v>64000</v>
          </cell>
          <cell r="J122">
            <v>40000</v>
          </cell>
        </row>
        <row r="123">
          <cell r="C123" t="str">
            <v>RGVK57</v>
          </cell>
          <cell r="D123" t="str">
            <v>Cái</v>
          </cell>
          <cell r="E123">
            <v>95000</v>
          </cell>
          <cell r="G123">
            <v>66500</v>
          </cell>
          <cell r="H123">
            <v>65000</v>
          </cell>
          <cell r="I123">
            <v>76000</v>
          </cell>
          <cell r="J123">
            <v>50000</v>
          </cell>
        </row>
        <row r="124">
          <cell r="C124" t="str">
            <v>RGVK45</v>
          </cell>
          <cell r="D124" t="str">
            <v>Cái</v>
          </cell>
          <cell r="E124">
            <v>80000</v>
          </cell>
          <cell r="G124">
            <v>56000</v>
          </cell>
          <cell r="H124">
            <v>55000</v>
          </cell>
          <cell r="I124">
            <v>64000</v>
          </cell>
          <cell r="J124">
            <v>35000</v>
          </cell>
        </row>
        <row r="125">
          <cell r="C125" t="str">
            <v>RGVK100</v>
          </cell>
          <cell r="D125" t="str">
            <v>Cái</v>
          </cell>
          <cell r="E125">
            <v>140000</v>
          </cell>
          <cell r="G125">
            <v>98000</v>
          </cell>
          <cell r="H125">
            <v>100000</v>
          </cell>
          <cell r="I125">
            <v>112000</v>
          </cell>
          <cell r="J125">
            <v>80000</v>
          </cell>
        </row>
        <row r="126">
          <cell r="C126" t="str">
            <v>RGDVK100</v>
          </cell>
          <cell r="D126" t="str">
            <v>Cái</v>
          </cell>
          <cell r="E126">
            <v>150000</v>
          </cell>
          <cell r="G126">
            <v>105000</v>
          </cell>
          <cell r="H126">
            <v>110000</v>
          </cell>
          <cell r="I126">
            <v>120000</v>
          </cell>
          <cell r="J126">
            <v>90000</v>
          </cell>
        </row>
        <row r="127">
          <cell r="C127" t="str">
            <v>RGAT46</v>
          </cell>
          <cell r="D127" t="str">
            <v>Cái</v>
          </cell>
          <cell r="E127">
            <v>70000</v>
          </cell>
          <cell r="G127">
            <v>49000</v>
          </cell>
          <cell r="H127">
            <v>50000</v>
          </cell>
          <cell r="I127">
            <v>56000</v>
          </cell>
          <cell r="J127">
            <v>32500</v>
          </cell>
        </row>
        <row r="128">
          <cell r="C128" t="str">
            <v>RGAT57</v>
          </cell>
          <cell r="D128" t="str">
            <v>Cái</v>
          </cell>
          <cell r="E128">
            <v>85000</v>
          </cell>
          <cell r="G128">
            <v>59499.999999999993</v>
          </cell>
          <cell r="H128">
            <v>60000</v>
          </cell>
          <cell r="I128">
            <v>68000</v>
          </cell>
          <cell r="J128">
            <v>42500</v>
          </cell>
        </row>
        <row r="129">
          <cell r="C129" t="str">
            <v>RGAT100</v>
          </cell>
          <cell r="D129" t="str">
            <v>Cái</v>
          </cell>
          <cell r="E129">
            <v>130000</v>
          </cell>
          <cell r="G129">
            <v>91000</v>
          </cell>
          <cell r="H129">
            <v>90000</v>
          </cell>
          <cell r="I129">
            <v>104000</v>
          </cell>
          <cell r="J129">
            <v>60000</v>
          </cell>
        </row>
        <row r="130">
          <cell r="C130" t="str">
            <v>RGAT30</v>
          </cell>
          <cell r="D130" t="str">
            <v>Cái</v>
          </cell>
          <cell r="E130">
            <v>50000</v>
          </cell>
          <cell r="G130">
            <v>35000</v>
          </cell>
          <cell r="H130">
            <v>30000</v>
          </cell>
          <cell r="I130">
            <v>40000</v>
          </cell>
          <cell r="J130">
            <v>25000</v>
          </cell>
        </row>
        <row r="131">
          <cell r="C131" t="str">
            <v>RGAT50</v>
          </cell>
          <cell r="D131" t="str">
            <v>Cái</v>
          </cell>
          <cell r="E131">
            <v>60000</v>
          </cell>
          <cell r="G131">
            <v>42000</v>
          </cell>
          <cell r="H131">
            <v>35000</v>
          </cell>
          <cell r="I131">
            <v>48000</v>
          </cell>
          <cell r="J131">
            <v>30000</v>
          </cell>
        </row>
        <row r="132">
          <cell r="C132" t="str">
            <v>RGAT6T</v>
          </cell>
          <cell r="D132" t="str">
            <v>Cái</v>
          </cell>
          <cell r="E132">
            <v>85000</v>
          </cell>
          <cell r="G132">
            <v>59499.999999999993</v>
          </cell>
          <cell r="H132">
            <v>60000</v>
          </cell>
          <cell r="I132">
            <v>68000</v>
          </cell>
          <cell r="J132">
            <v>40000</v>
          </cell>
        </row>
        <row r="133">
          <cell r="C133" t="str">
            <v>RGTH57</v>
          </cell>
          <cell r="D133" t="str">
            <v>Cái</v>
          </cell>
          <cell r="E133">
            <v>140000</v>
          </cell>
          <cell r="G133">
            <v>98000</v>
          </cell>
          <cell r="H133">
            <v>120000</v>
          </cell>
          <cell r="I133">
            <v>112000</v>
          </cell>
          <cell r="J133">
            <v>95000</v>
          </cell>
        </row>
        <row r="134">
          <cell r="C134" t="str">
            <v>BC23KX</v>
          </cell>
          <cell r="D134" t="str">
            <v>Bịch</v>
          </cell>
          <cell r="E134">
            <v>83000</v>
          </cell>
          <cell r="G134">
            <v>66400</v>
          </cell>
          <cell r="H134">
            <v>64000</v>
          </cell>
          <cell r="I134">
            <v>70550</v>
          </cell>
          <cell r="J134">
            <v>58000</v>
          </cell>
        </row>
        <row r="135">
          <cell r="C135" t="str">
            <v>BC23</v>
          </cell>
          <cell r="D135" t="str">
            <v>Bịch</v>
          </cell>
          <cell r="E135">
            <v>65000</v>
          </cell>
          <cell r="G135">
            <v>52000</v>
          </cell>
          <cell r="H135">
            <v>50000</v>
          </cell>
          <cell r="I135">
            <v>55250</v>
          </cell>
          <cell r="J135">
            <v>47000</v>
          </cell>
          <cell r="K135" t="str">
            <v>100 cái/ bịch</v>
          </cell>
        </row>
        <row r="136">
          <cell r="C136" t="str">
            <v>BC38KD</v>
          </cell>
          <cell r="D136" t="str">
            <v>Bịch</v>
          </cell>
          <cell r="E136">
            <v>140000</v>
          </cell>
          <cell r="G136">
            <v>112000</v>
          </cell>
          <cell r="H136">
            <v>110000</v>
          </cell>
          <cell r="I136">
            <v>119000</v>
          </cell>
          <cell r="J136">
            <v>100000</v>
          </cell>
          <cell r="K136" t="str">
            <v>100 cái/ bịch</v>
          </cell>
        </row>
        <row r="137">
          <cell r="C137" t="str">
            <v>BC38</v>
          </cell>
          <cell r="D137" t="str">
            <v>Bịch</v>
          </cell>
          <cell r="E137">
            <v>100000</v>
          </cell>
          <cell r="G137">
            <v>80000</v>
          </cell>
          <cell r="H137">
            <v>80000</v>
          </cell>
          <cell r="I137">
            <v>85000</v>
          </cell>
          <cell r="J137">
            <v>70000</v>
          </cell>
          <cell r="K137" t="str">
            <v>100 cái/ bịch</v>
          </cell>
        </row>
        <row r="138">
          <cell r="C138" t="str">
            <v>BC42KD</v>
          </cell>
          <cell r="D138" t="str">
            <v>Bịch</v>
          </cell>
          <cell r="E138">
            <v>140000</v>
          </cell>
          <cell r="G138">
            <v>112000</v>
          </cell>
          <cell r="H138">
            <v>110000</v>
          </cell>
          <cell r="I138">
            <v>119000</v>
          </cell>
          <cell r="J138">
            <v>100000</v>
          </cell>
          <cell r="K138" t="str">
            <v>100 cái/ bịch</v>
          </cell>
        </row>
        <row r="139">
          <cell r="C139" t="str">
            <v>BC23XBH</v>
          </cell>
          <cell r="D139" t="str">
            <v>Bịch</v>
          </cell>
          <cell r="E139">
            <v>100000</v>
          </cell>
          <cell r="G139">
            <v>80000</v>
          </cell>
          <cell r="H139">
            <v>80000</v>
          </cell>
          <cell r="I139">
            <v>85000</v>
          </cell>
          <cell r="J139">
            <v>68000</v>
          </cell>
          <cell r="K139" t="str">
            <v>100 cái/ bịch</v>
          </cell>
        </row>
        <row r="140">
          <cell r="C140" t="str">
            <v>BC42KDBN</v>
          </cell>
          <cell r="D140" t="str">
            <v>Bịch</v>
          </cell>
          <cell r="E140">
            <v>165000</v>
          </cell>
          <cell r="G140">
            <v>132000</v>
          </cell>
          <cell r="H140">
            <v>130000</v>
          </cell>
          <cell r="I140">
            <v>140250</v>
          </cell>
          <cell r="J140">
            <v>120000</v>
          </cell>
          <cell r="K140" t="str">
            <v>100 cái/ bịch</v>
          </cell>
        </row>
        <row r="141">
          <cell r="C141" t="str">
            <v>LKS</v>
          </cell>
          <cell r="D141" t="str">
            <v>Bịch</v>
          </cell>
          <cell r="E141">
            <v>60000</v>
          </cell>
          <cell r="G141">
            <v>48000</v>
          </cell>
          <cell r="H141">
            <v>48000</v>
          </cell>
          <cell r="I141">
            <v>51000</v>
          </cell>
          <cell r="J141">
            <v>35000</v>
          </cell>
          <cell r="K141" t="str">
            <v>100 cái/ bịch</v>
          </cell>
        </row>
        <row r="142">
          <cell r="C142" t="str">
            <v>LBKS</v>
          </cell>
          <cell r="D142" t="str">
            <v>Bịch</v>
          </cell>
          <cell r="E142">
            <v>65000</v>
          </cell>
          <cell r="G142">
            <v>52000</v>
          </cell>
          <cell r="H142">
            <v>50000</v>
          </cell>
          <cell r="I142">
            <v>55250</v>
          </cell>
          <cell r="J142">
            <v>38000</v>
          </cell>
          <cell r="K142" t="str">
            <v>100 cái/ bịch</v>
          </cell>
        </row>
        <row r="143">
          <cell r="C143" t="str">
            <v>LBKSBN</v>
          </cell>
          <cell r="D143" t="str">
            <v>Bịch</v>
          </cell>
          <cell r="E143">
            <v>80000</v>
          </cell>
          <cell r="G143">
            <v>64000</v>
          </cell>
          <cell r="H143">
            <v>65000</v>
          </cell>
          <cell r="I143">
            <v>68000</v>
          </cell>
          <cell r="J143">
            <v>58000</v>
          </cell>
          <cell r="K143" t="str">
            <v>100 cái/ bịch</v>
          </cell>
        </row>
        <row r="144">
          <cell r="C144" t="str">
            <v>CTKS</v>
          </cell>
          <cell r="D144" t="str">
            <v>Bịch</v>
          </cell>
          <cell r="E144">
            <v>60000</v>
          </cell>
          <cell r="G144">
            <v>48000</v>
          </cell>
          <cell r="H144">
            <v>48000</v>
          </cell>
          <cell r="I144">
            <v>51000</v>
          </cell>
          <cell r="J144">
            <v>38000</v>
          </cell>
          <cell r="K144" t="str">
            <v>100 cái/ bịch</v>
          </cell>
        </row>
        <row r="145">
          <cell r="C145" t="str">
            <v>CTKSBN</v>
          </cell>
          <cell r="D145" t="str">
            <v>Bịch</v>
          </cell>
          <cell r="E145">
            <v>80000</v>
          </cell>
          <cell r="G145">
            <v>64000</v>
          </cell>
          <cell r="H145">
            <v>65000</v>
          </cell>
          <cell r="I145">
            <v>68000</v>
          </cell>
          <cell r="J145">
            <v>58000</v>
          </cell>
          <cell r="K145" t="str">
            <v>100 cái/ bịch</v>
          </cell>
        </row>
        <row r="146">
          <cell r="C146" t="str">
            <v>XPC5</v>
          </cell>
          <cell r="D146" t="str">
            <v>Bịch</v>
          </cell>
          <cell r="E146">
            <v>60000</v>
          </cell>
          <cell r="G146">
            <v>48000</v>
          </cell>
          <cell r="H146">
            <v>48000</v>
          </cell>
          <cell r="I146">
            <v>51000</v>
          </cell>
          <cell r="J146">
            <v>38000</v>
          </cell>
          <cell r="K146" t="str">
            <v>100 cái/ bịch</v>
          </cell>
        </row>
        <row r="147">
          <cell r="C147" t="str">
            <v>XPC10</v>
          </cell>
          <cell r="D147" t="str">
            <v>Bịch</v>
          </cell>
          <cell r="E147">
            <v>80000</v>
          </cell>
          <cell r="G147">
            <v>64000</v>
          </cell>
          <cell r="H147">
            <v>65000</v>
          </cell>
          <cell r="I147">
            <v>68000</v>
          </cell>
          <cell r="J147">
            <v>58000</v>
          </cell>
          <cell r="K147" t="str">
            <v>100 cái/ bịch</v>
          </cell>
        </row>
        <row r="148">
          <cell r="C148" t="str">
            <v>BC3MKK</v>
          </cell>
          <cell r="D148" t="str">
            <v>Bịch</v>
          </cell>
          <cell r="E148">
            <v>100000</v>
          </cell>
          <cell r="G148">
            <v>80000</v>
          </cell>
          <cell r="H148">
            <v>80000</v>
          </cell>
          <cell r="I148">
            <v>85000</v>
          </cell>
          <cell r="J148">
            <v>70000</v>
          </cell>
        </row>
        <row r="149">
          <cell r="C149" t="str">
            <v>BC3MKD</v>
          </cell>
          <cell r="D149" t="str">
            <v>Bịch</v>
          </cell>
          <cell r="E149">
            <v>140000</v>
          </cell>
          <cell r="G149">
            <v>112000</v>
          </cell>
          <cell r="H149">
            <v>110000</v>
          </cell>
          <cell r="I149">
            <v>119000</v>
          </cell>
          <cell r="J149">
            <v>100000</v>
          </cell>
        </row>
        <row r="150">
          <cell r="C150" t="str">
            <v>BC3MBN</v>
          </cell>
          <cell r="D150" t="str">
            <v>Bịch</v>
          </cell>
          <cell r="E150">
            <v>165000</v>
          </cell>
          <cell r="G150">
            <v>132000</v>
          </cell>
          <cell r="H150">
            <v>130000</v>
          </cell>
          <cell r="I150">
            <v>140250</v>
          </cell>
          <cell r="J150">
            <v>120000</v>
          </cell>
        </row>
        <row r="151">
          <cell r="C151" t="str">
            <v>DCRK</v>
          </cell>
          <cell r="D151" t="str">
            <v>Cái</v>
          </cell>
          <cell r="E151">
            <v>3000</v>
          </cell>
          <cell r="G151">
            <v>2400</v>
          </cell>
          <cell r="H151">
            <v>2200</v>
          </cell>
          <cell r="J151">
            <v>1900</v>
          </cell>
        </row>
        <row r="152">
          <cell r="C152" t="str">
            <v>GNBC</v>
          </cell>
          <cell r="D152" t="str">
            <v>Cuộn</v>
          </cell>
          <cell r="E152">
            <v>60000</v>
          </cell>
          <cell r="G152">
            <v>48000</v>
          </cell>
          <cell r="H152">
            <v>48000</v>
          </cell>
          <cell r="I152">
            <v>51000</v>
          </cell>
          <cell r="J152">
            <v>30000</v>
          </cell>
          <cell r="K152" t="str">
            <v>100 cái/cuộn</v>
          </cell>
        </row>
        <row r="153">
          <cell r="C153" t="str">
            <v>TBKS</v>
          </cell>
          <cell r="D153" t="str">
            <v>Bịch</v>
          </cell>
          <cell r="E153">
            <v>95000</v>
          </cell>
          <cell r="G153">
            <v>76000</v>
          </cell>
          <cell r="H153">
            <v>75000</v>
          </cell>
          <cell r="I153">
            <v>80750</v>
          </cell>
          <cell r="J153">
            <v>62000</v>
          </cell>
          <cell r="K153" t="str">
            <v>200 gói/ bịch</v>
          </cell>
        </row>
        <row r="154">
          <cell r="C154" t="str">
            <v>BCSYL</v>
          </cell>
          <cell r="D154" t="str">
            <v>Hộp</v>
          </cell>
          <cell r="E154">
            <v>120000</v>
          </cell>
          <cell r="G154">
            <v>96000</v>
          </cell>
          <cell r="H154">
            <v>95000</v>
          </cell>
          <cell r="I154">
            <v>102000</v>
          </cell>
          <cell r="J154">
            <v>80000</v>
          </cell>
          <cell r="K154" t="str">
            <v>144 cái/ hộp</v>
          </cell>
        </row>
        <row r="155">
          <cell r="C155" t="str">
            <v>DGKS</v>
          </cell>
          <cell r="D155" t="str">
            <v>Gói</v>
          </cell>
          <cell r="E155">
            <v>450</v>
          </cell>
          <cell r="G155">
            <v>360</v>
          </cell>
          <cell r="H155">
            <v>350</v>
          </cell>
          <cell r="I155">
            <v>382.5</v>
          </cell>
          <cell r="J155">
            <v>250</v>
          </cell>
        </row>
        <row r="156">
          <cell r="C156" t="str">
            <v>DGC</v>
          </cell>
          <cell r="D156" t="str">
            <v>Can</v>
          </cell>
          <cell r="E156">
            <v>450000</v>
          </cell>
          <cell r="G156">
            <v>360000</v>
          </cell>
          <cell r="H156">
            <v>350000</v>
          </cell>
          <cell r="J156">
            <v>250000</v>
          </cell>
        </row>
        <row r="157">
          <cell r="C157" t="str">
            <v>STKS</v>
          </cell>
          <cell r="D157" t="str">
            <v>Gói</v>
          </cell>
          <cell r="E157">
            <v>450</v>
          </cell>
          <cell r="G157">
            <v>360</v>
          </cell>
          <cell r="H157">
            <v>350</v>
          </cell>
          <cell r="I157">
            <v>382.5</v>
          </cell>
          <cell r="J157">
            <v>2500</v>
          </cell>
        </row>
        <row r="158">
          <cell r="C158" t="str">
            <v>STC</v>
          </cell>
          <cell r="D158" t="str">
            <v>Can</v>
          </cell>
          <cell r="E158">
            <v>450000</v>
          </cell>
          <cell r="G158">
            <v>360000</v>
          </cell>
          <cell r="H158">
            <v>350000</v>
          </cell>
          <cell r="I158">
            <v>382500</v>
          </cell>
          <cell r="J158">
            <v>250000</v>
          </cell>
        </row>
        <row r="159">
          <cell r="C159" t="str">
            <v>DXXNX</v>
          </cell>
          <cell r="D159" t="str">
            <v>Đôi</v>
          </cell>
          <cell r="E159">
            <v>11000</v>
          </cell>
          <cell r="G159">
            <v>8800</v>
          </cell>
          <cell r="H159">
            <v>9000</v>
          </cell>
          <cell r="I159">
            <v>9350</v>
          </cell>
          <cell r="J159">
            <v>7500</v>
          </cell>
        </row>
        <row r="160">
          <cell r="C160" t="str">
            <v>DXXND</v>
          </cell>
          <cell r="D160" t="str">
            <v>Đôi</v>
          </cell>
          <cell r="E160">
            <v>11000</v>
          </cell>
          <cell r="G160">
            <v>8800</v>
          </cell>
          <cell r="H160">
            <v>9000</v>
          </cell>
          <cell r="I160">
            <v>9350</v>
          </cell>
          <cell r="J160">
            <v>7500</v>
          </cell>
        </row>
        <row r="161">
          <cell r="C161" t="str">
            <v>DXXNT</v>
          </cell>
          <cell r="D161" t="str">
            <v>Đôi</v>
          </cell>
          <cell r="E161">
            <v>11000</v>
          </cell>
          <cell r="G161">
            <v>8800</v>
          </cell>
          <cell r="H161">
            <v>9000</v>
          </cell>
          <cell r="I161">
            <v>9350</v>
          </cell>
          <cell r="J161">
            <v>7500</v>
          </cell>
        </row>
        <row r="162">
          <cell r="C162" t="str">
            <v>DXQN</v>
          </cell>
          <cell r="D162" t="str">
            <v>Đôi</v>
          </cell>
          <cell r="E162">
            <v>14000</v>
          </cell>
          <cell r="G162">
            <v>11200</v>
          </cell>
          <cell r="H162">
            <v>11000</v>
          </cell>
          <cell r="I162">
            <v>11900</v>
          </cell>
          <cell r="J162">
            <v>9000</v>
          </cell>
        </row>
        <row r="163">
          <cell r="C163" t="str">
            <v>XPSK</v>
          </cell>
          <cell r="D163" t="str">
            <v>Chai</v>
          </cell>
          <cell r="E163">
            <v>45000</v>
          </cell>
          <cell r="G163">
            <v>36000</v>
          </cell>
          <cell r="H163">
            <v>35000</v>
          </cell>
          <cell r="I163">
            <v>38250</v>
          </cell>
          <cell r="J163">
            <v>27000</v>
          </cell>
        </row>
        <row r="164">
          <cell r="C164" t="str">
            <v>XPOS</v>
          </cell>
          <cell r="D164" t="str">
            <v>Chai</v>
          </cell>
          <cell r="E164">
            <v>52000</v>
          </cell>
          <cell r="G164">
            <v>41600</v>
          </cell>
          <cell r="H164">
            <v>40000</v>
          </cell>
          <cell r="I164">
            <v>44200</v>
          </cell>
          <cell r="J164">
            <v>32000</v>
          </cell>
        </row>
        <row r="165">
          <cell r="C165" t="str">
            <v>Aonem1m</v>
          </cell>
          <cell r="D165" t="str">
            <v>Cái</v>
          </cell>
          <cell r="E165">
            <v>170000</v>
          </cell>
          <cell r="G165">
            <v>118999.99999999999</v>
          </cell>
          <cell r="H165">
            <v>130000</v>
          </cell>
          <cell r="I165">
            <v>136000</v>
          </cell>
          <cell r="J165">
            <v>85000</v>
          </cell>
        </row>
        <row r="166">
          <cell r="C166" t="str">
            <v>Aonem1m2</v>
          </cell>
          <cell r="D166" t="str">
            <v>Cái</v>
          </cell>
          <cell r="E166">
            <v>180000</v>
          </cell>
          <cell r="G166">
            <v>125999.99999999999</v>
          </cell>
          <cell r="H166">
            <v>140000</v>
          </cell>
          <cell r="I166">
            <v>144000</v>
          </cell>
          <cell r="J166">
            <v>95000</v>
          </cell>
        </row>
        <row r="167">
          <cell r="C167" t="str">
            <v>Aonem1m4</v>
          </cell>
          <cell r="D167" t="str">
            <v>Cái</v>
          </cell>
          <cell r="E167">
            <v>190000</v>
          </cell>
          <cell r="G167">
            <v>133000</v>
          </cell>
          <cell r="H167">
            <v>150000</v>
          </cell>
          <cell r="I167">
            <v>152000</v>
          </cell>
          <cell r="J167">
            <v>105000</v>
          </cell>
        </row>
        <row r="168">
          <cell r="C168" t="str">
            <v>Aonem1m6</v>
          </cell>
          <cell r="D168" t="str">
            <v>Cái</v>
          </cell>
          <cell r="E168">
            <v>200000</v>
          </cell>
          <cell r="G168">
            <v>140000</v>
          </cell>
          <cell r="H168">
            <v>160000</v>
          </cell>
          <cell r="I168">
            <v>160000</v>
          </cell>
          <cell r="J168">
            <v>115000</v>
          </cell>
        </row>
        <row r="169">
          <cell r="C169" t="str">
            <v>Aonem1m8</v>
          </cell>
          <cell r="D169" t="str">
            <v>Cái</v>
          </cell>
          <cell r="E169">
            <v>220000</v>
          </cell>
          <cell r="G169">
            <v>154000</v>
          </cell>
          <cell r="H169">
            <v>170000</v>
          </cell>
          <cell r="I169">
            <v>176000</v>
          </cell>
          <cell r="J169">
            <v>125000</v>
          </cell>
        </row>
        <row r="170">
          <cell r="C170" t="str">
            <v>Aonem2m2</v>
          </cell>
          <cell r="D170" t="str">
            <v>Cái</v>
          </cell>
          <cell r="E170">
            <v>280000</v>
          </cell>
          <cell r="G170">
            <v>196000</v>
          </cell>
          <cell r="H170">
            <v>200000</v>
          </cell>
          <cell r="I170">
            <v>224000</v>
          </cell>
          <cell r="J170">
            <v>145000</v>
          </cell>
        </row>
        <row r="171">
          <cell r="C171" t="str">
            <v>AonemVP80x190</v>
          </cell>
          <cell r="D171" t="str">
            <v>Cái</v>
          </cell>
          <cell r="E171">
            <v>120000</v>
          </cell>
          <cell r="G171">
            <v>84000</v>
          </cell>
          <cell r="H171">
            <v>80000</v>
          </cell>
          <cell r="I171">
            <v>96000</v>
          </cell>
          <cell r="J171">
            <v>65000</v>
          </cell>
        </row>
        <row r="172">
          <cell r="C172" t="str">
            <v>AonemVP100x190</v>
          </cell>
          <cell r="D172" t="str">
            <v>Cái</v>
          </cell>
          <cell r="E172">
            <v>140000</v>
          </cell>
          <cell r="G172">
            <v>98000</v>
          </cell>
          <cell r="H172">
            <v>100000</v>
          </cell>
          <cell r="I172">
            <v>112000</v>
          </cell>
          <cell r="J172">
            <v>75000</v>
          </cell>
        </row>
        <row r="173">
          <cell r="C173" t="str">
            <v>NemNhat1m</v>
          </cell>
          <cell r="D173" t="str">
            <v>Cái</v>
          </cell>
          <cell r="E173">
            <v>420000</v>
          </cell>
          <cell r="G173">
            <v>294000</v>
          </cell>
          <cell r="H173">
            <v>330000</v>
          </cell>
          <cell r="I173">
            <v>336000</v>
          </cell>
          <cell r="J173">
            <v>240000</v>
          </cell>
        </row>
        <row r="174">
          <cell r="C174" t="str">
            <v>NemNhat1.2m</v>
          </cell>
          <cell r="D174" t="str">
            <v>Cái</v>
          </cell>
          <cell r="E174">
            <v>500000</v>
          </cell>
          <cell r="G174">
            <v>350000</v>
          </cell>
          <cell r="H174">
            <v>390000</v>
          </cell>
          <cell r="I174">
            <v>400000</v>
          </cell>
          <cell r="J174">
            <v>290000</v>
          </cell>
        </row>
        <row r="175">
          <cell r="C175" t="str">
            <v>NemNhat1.4m</v>
          </cell>
          <cell r="D175" t="str">
            <v>Cái</v>
          </cell>
          <cell r="E175">
            <v>580000</v>
          </cell>
          <cell r="G175">
            <v>406000</v>
          </cell>
          <cell r="H175">
            <v>450000</v>
          </cell>
          <cell r="I175">
            <v>464000</v>
          </cell>
          <cell r="J175">
            <v>340000</v>
          </cell>
        </row>
        <row r="176">
          <cell r="C176" t="str">
            <v>NemNhat1.6m</v>
          </cell>
          <cell r="D176" t="str">
            <v>Cái</v>
          </cell>
          <cell r="E176">
            <v>640000</v>
          </cell>
          <cell r="G176">
            <v>448000</v>
          </cell>
          <cell r="H176">
            <v>510000</v>
          </cell>
          <cell r="I176">
            <v>512000</v>
          </cell>
          <cell r="J176">
            <v>390000</v>
          </cell>
        </row>
        <row r="177">
          <cell r="C177" t="str">
            <v>NemNhat1.8m</v>
          </cell>
          <cell r="D177" t="str">
            <v>Cái</v>
          </cell>
          <cell r="E177">
            <v>700000</v>
          </cell>
          <cell r="G177">
            <v>489999.99999999994</v>
          </cell>
          <cell r="H177">
            <v>560000</v>
          </cell>
          <cell r="I177">
            <v>560000</v>
          </cell>
          <cell r="J177">
            <v>440000</v>
          </cell>
        </row>
        <row r="178">
          <cell r="C178" t="str">
            <v>Nemebe</v>
          </cell>
          <cell r="D178" t="str">
            <v>Cái</v>
          </cell>
          <cell r="E178">
            <v>200000</v>
          </cell>
          <cell r="G178">
            <v>140000</v>
          </cell>
          <cell r="H178">
            <v>140000</v>
          </cell>
          <cell r="I178">
            <v>160000</v>
          </cell>
          <cell r="J178">
            <v>165000</v>
          </cell>
        </row>
        <row r="179">
          <cell r="C179" t="str">
            <v>NemVP80</v>
          </cell>
          <cell r="D179" t="str">
            <v>Cái</v>
          </cell>
          <cell r="E179">
            <v>240000</v>
          </cell>
          <cell r="G179">
            <v>168000</v>
          </cell>
          <cell r="H179">
            <v>180000</v>
          </cell>
          <cell r="I179">
            <v>192000</v>
          </cell>
          <cell r="J179">
            <v>165000</v>
          </cell>
        </row>
        <row r="180">
          <cell r="C180" t="str">
            <v>NemVP1m</v>
          </cell>
          <cell r="D180" t="str">
            <v>Cái</v>
          </cell>
          <cell r="E180">
            <v>270000</v>
          </cell>
          <cell r="G180">
            <v>189000</v>
          </cell>
          <cell r="H180">
            <v>200000</v>
          </cell>
          <cell r="I180">
            <v>216000</v>
          </cell>
          <cell r="J180">
            <v>195000</v>
          </cell>
        </row>
        <row r="181">
          <cell r="C181" t="str">
            <v>NemVP1m6</v>
          </cell>
          <cell r="D181" t="str">
            <v>Cái</v>
          </cell>
          <cell r="E181">
            <v>320000</v>
          </cell>
          <cell r="G181">
            <v>224000</v>
          </cell>
          <cell r="H181">
            <v>250000</v>
          </cell>
          <cell r="I181">
            <v>256000</v>
          </cell>
          <cell r="J181">
            <v>205000</v>
          </cell>
        </row>
        <row r="182">
          <cell r="C182" t="str">
            <v>Gapoly1m</v>
          </cell>
          <cell r="D182" t="str">
            <v>Cái</v>
          </cell>
          <cell r="E182">
            <v>80000</v>
          </cell>
          <cell r="G182">
            <v>56000</v>
          </cell>
          <cell r="H182">
            <v>60000</v>
          </cell>
          <cell r="I182">
            <v>64000</v>
          </cell>
          <cell r="J182">
            <v>45000</v>
          </cell>
        </row>
        <row r="183">
          <cell r="C183" t="str">
            <v>Gapoly1.2m</v>
          </cell>
          <cell r="D183" t="str">
            <v>Cái</v>
          </cell>
          <cell r="E183">
            <v>80000</v>
          </cell>
          <cell r="G183">
            <v>56000</v>
          </cell>
          <cell r="H183">
            <v>60000</v>
          </cell>
          <cell r="I183">
            <v>64000</v>
          </cell>
          <cell r="J183">
            <v>45000</v>
          </cell>
        </row>
        <row r="184">
          <cell r="C184" t="str">
            <v>Gapoly1.4m</v>
          </cell>
          <cell r="D184" t="str">
            <v>Cái</v>
          </cell>
          <cell r="E184">
            <v>80000</v>
          </cell>
          <cell r="G184">
            <v>56000</v>
          </cell>
          <cell r="H184">
            <v>60000</v>
          </cell>
          <cell r="I184">
            <v>64000</v>
          </cell>
          <cell r="J184">
            <v>45000</v>
          </cell>
        </row>
        <row r="185">
          <cell r="C185" t="str">
            <v>Gapoly1.6m</v>
          </cell>
          <cell r="D185" t="str">
            <v>Cái</v>
          </cell>
          <cell r="E185">
            <v>80000</v>
          </cell>
          <cell r="G185">
            <v>56000</v>
          </cell>
          <cell r="H185">
            <v>60000</v>
          </cell>
          <cell r="I185">
            <v>64000</v>
          </cell>
          <cell r="J185">
            <v>45000</v>
          </cell>
        </row>
        <row r="186">
          <cell r="C186" t="str">
            <v>Gapoly1.8m</v>
          </cell>
          <cell r="D186" t="str">
            <v>Cái</v>
          </cell>
          <cell r="E186">
            <v>80000</v>
          </cell>
          <cell r="G186">
            <v>56000</v>
          </cell>
          <cell r="H186">
            <v>60000</v>
          </cell>
          <cell r="I186">
            <v>64000</v>
          </cell>
          <cell r="J186">
            <v>45000</v>
          </cell>
        </row>
        <row r="187">
          <cell r="C187" t="str">
            <v>VG25x30</v>
          </cell>
          <cell r="D187" t="str">
            <v>Cái</v>
          </cell>
          <cell r="E187">
            <v>20000</v>
          </cell>
          <cell r="G187">
            <v>14000</v>
          </cell>
          <cell r="H187">
            <v>15000</v>
          </cell>
          <cell r="I187">
            <v>16000</v>
          </cell>
          <cell r="J187">
            <v>10000</v>
          </cell>
        </row>
        <row r="188">
          <cell r="C188" t="str">
            <v>VG35x50</v>
          </cell>
          <cell r="D188" t="str">
            <v>Cái</v>
          </cell>
          <cell r="E188">
            <v>20000</v>
          </cell>
          <cell r="G188">
            <v>14000</v>
          </cell>
          <cell r="H188">
            <v>15000</v>
          </cell>
          <cell r="I188">
            <v>16000</v>
          </cell>
          <cell r="J188">
            <v>10000</v>
          </cell>
        </row>
        <row r="189">
          <cell r="C189" t="str">
            <v>VG46</v>
          </cell>
          <cell r="D189" t="str">
            <v>Cái</v>
          </cell>
          <cell r="E189">
            <v>25000</v>
          </cell>
          <cell r="G189">
            <v>17500</v>
          </cell>
          <cell r="H189">
            <v>20000</v>
          </cell>
          <cell r="I189">
            <v>20000</v>
          </cell>
          <cell r="J189">
            <v>10000</v>
          </cell>
        </row>
        <row r="190">
          <cell r="C190" t="str">
            <v>VG57</v>
          </cell>
          <cell r="D190" t="str">
            <v>Cái</v>
          </cell>
          <cell r="E190">
            <v>25000</v>
          </cell>
          <cell r="G190">
            <v>17500</v>
          </cell>
          <cell r="H190">
            <v>20000</v>
          </cell>
          <cell r="I190">
            <v>20000</v>
          </cell>
          <cell r="J190">
            <v>12000</v>
          </cell>
        </row>
        <row r="191">
          <cell r="C191" t="str">
            <v>VG6T</v>
          </cell>
          <cell r="D191" t="str">
            <v>Cái</v>
          </cell>
          <cell r="E191">
            <v>25000</v>
          </cell>
          <cell r="G191">
            <v>17500</v>
          </cell>
          <cell r="H191">
            <v>20000</v>
          </cell>
          <cell r="I191">
            <v>20000</v>
          </cell>
          <cell r="J191">
            <v>12000</v>
          </cell>
        </row>
        <row r="192">
          <cell r="C192" t="str">
            <v>VG35x100</v>
          </cell>
          <cell r="D192" t="str">
            <v>Cái</v>
          </cell>
          <cell r="E192">
            <v>30000</v>
          </cell>
          <cell r="G192">
            <v>21000</v>
          </cell>
          <cell r="H192">
            <v>25000</v>
          </cell>
          <cell r="I192">
            <v>24000</v>
          </cell>
          <cell r="J192">
            <v>12000</v>
          </cell>
        </row>
        <row r="193">
          <cell r="C193" t="str">
            <v>Menchanbong</v>
          </cell>
          <cell r="D193" t="str">
            <v>Cái</v>
          </cell>
          <cell r="E193">
            <v>220000</v>
          </cell>
          <cell r="G193">
            <v>154000</v>
          </cell>
          <cell r="H193">
            <v>170000</v>
          </cell>
          <cell r="I193">
            <v>176000</v>
          </cell>
          <cell r="J193">
            <v>120000</v>
          </cell>
        </row>
        <row r="194">
          <cell r="C194" t="str">
            <v>RS1102.57</v>
          </cell>
          <cell r="D194" t="str">
            <v>Cái</v>
          </cell>
          <cell r="E194">
            <v>350000</v>
          </cell>
          <cell r="G194">
            <v>280000</v>
          </cell>
          <cell r="H194">
            <v>280000</v>
          </cell>
          <cell r="I194">
            <v>297500</v>
          </cell>
        </row>
        <row r="195">
          <cell r="C195" t="str">
            <v>RS1122.57</v>
          </cell>
          <cell r="D195" t="str">
            <v>Cái</v>
          </cell>
          <cell r="E195">
            <v>365000</v>
          </cell>
          <cell r="G195">
            <v>292000</v>
          </cell>
          <cell r="H195">
            <v>290000</v>
          </cell>
          <cell r="I195">
            <v>310250</v>
          </cell>
        </row>
        <row r="196">
          <cell r="C196" t="str">
            <v>RS1142.57</v>
          </cell>
          <cell r="D196" t="str">
            <v>Cái</v>
          </cell>
          <cell r="E196">
            <v>380000</v>
          </cell>
          <cell r="G196">
            <v>304000</v>
          </cell>
          <cell r="H196">
            <v>300000</v>
          </cell>
          <cell r="I196">
            <v>323000</v>
          </cell>
        </row>
        <row r="197">
          <cell r="C197" t="str">
            <v>RS1162.57</v>
          </cell>
          <cell r="D197" t="str">
            <v>Cái</v>
          </cell>
          <cell r="E197">
            <v>400000</v>
          </cell>
          <cell r="G197">
            <v>320000</v>
          </cell>
          <cell r="H197">
            <v>320000</v>
          </cell>
          <cell r="I197">
            <v>340000</v>
          </cell>
        </row>
        <row r="198">
          <cell r="C198" t="str">
            <v>RS1182.57</v>
          </cell>
          <cell r="D198" t="str">
            <v>Cái</v>
          </cell>
          <cell r="E198">
            <v>440000</v>
          </cell>
          <cell r="G198">
            <v>352000</v>
          </cell>
          <cell r="H198">
            <v>350000</v>
          </cell>
          <cell r="I198">
            <v>374000</v>
          </cell>
        </row>
        <row r="199">
          <cell r="C199" t="str">
            <v>RS1222.57</v>
          </cell>
          <cell r="D199" t="str">
            <v>Cái</v>
          </cell>
          <cell r="E199">
            <v>510000</v>
          </cell>
          <cell r="G199">
            <v>408000</v>
          </cell>
          <cell r="H199">
            <v>410000</v>
          </cell>
          <cell r="I199">
            <v>433500</v>
          </cell>
        </row>
        <row r="200">
          <cell r="C200" t="str">
            <v>RS1103.57</v>
          </cell>
          <cell r="D200" t="str">
            <v>Cái</v>
          </cell>
          <cell r="E200">
            <v>380000</v>
          </cell>
          <cell r="G200">
            <v>304000</v>
          </cell>
          <cell r="H200">
            <v>300000</v>
          </cell>
          <cell r="I200">
            <v>323000</v>
          </cell>
        </row>
        <row r="201">
          <cell r="C201" t="str">
            <v>RS1123.57</v>
          </cell>
          <cell r="D201" t="str">
            <v>Cái</v>
          </cell>
          <cell r="E201">
            <v>395000</v>
          </cell>
          <cell r="G201">
            <v>316000</v>
          </cell>
          <cell r="H201">
            <v>310000</v>
          </cell>
          <cell r="I201">
            <v>335750</v>
          </cell>
        </row>
        <row r="202">
          <cell r="C202" t="str">
            <v>RS1143.57</v>
          </cell>
          <cell r="D202" t="str">
            <v>Cái</v>
          </cell>
          <cell r="E202">
            <v>410000</v>
          </cell>
          <cell r="G202">
            <v>328000</v>
          </cell>
          <cell r="H202">
            <v>320000</v>
          </cell>
          <cell r="I202">
            <v>348500</v>
          </cell>
        </row>
        <row r="203">
          <cell r="C203" t="str">
            <v>RS1163.57</v>
          </cell>
          <cell r="D203" t="str">
            <v>Cái</v>
          </cell>
          <cell r="E203">
            <v>430000</v>
          </cell>
          <cell r="G203">
            <v>344000</v>
          </cell>
          <cell r="H203">
            <v>340000</v>
          </cell>
          <cell r="I203">
            <v>365500</v>
          </cell>
        </row>
        <row r="204">
          <cell r="C204" t="str">
            <v>RS1183.57</v>
          </cell>
          <cell r="D204" t="str">
            <v>Cái</v>
          </cell>
          <cell r="E204">
            <v>470000</v>
          </cell>
          <cell r="G204">
            <v>376000</v>
          </cell>
          <cell r="H204">
            <v>370000</v>
          </cell>
          <cell r="I204">
            <v>399500</v>
          </cell>
        </row>
        <row r="205">
          <cell r="C205" t="str">
            <v>RS1223.57</v>
          </cell>
          <cell r="D205" t="str">
            <v>Cái</v>
          </cell>
          <cell r="E205">
            <v>535000</v>
          </cell>
          <cell r="G205">
            <v>428000</v>
          </cell>
          <cell r="H205">
            <v>430000</v>
          </cell>
          <cell r="I205">
            <v>454750</v>
          </cell>
        </row>
        <row r="206">
          <cell r="C206" t="str">
            <v>RS1102.46</v>
          </cell>
          <cell r="D206" t="str">
            <v>Cái</v>
          </cell>
          <cell r="E206">
            <v>350000</v>
          </cell>
          <cell r="G206">
            <v>280000</v>
          </cell>
          <cell r="H206">
            <v>280000</v>
          </cell>
          <cell r="I206">
            <v>297500</v>
          </cell>
        </row>
        <row r="207">
          <cell r="C207" t="str">
            <v>RS1122.46</v>
          </cell>
          <cell r="D207" t="str">
            <v>Cái</v>
          </cell>
          <cell r="E207">
            <v>365000</v>
          </cell>
          <cell r="G207">
            <v>292000</v>
          </cell>
          <cell r="H207">
            <v>290000</v>
          </cell>
          <cell r="I207">
            <v>310250</v>
          </cell>
        </row>
        <row r="208">
          <cell r="C208" t="str">
            <v>RS1142.46</v>
          </cell>
          <cell r="D208" t="str">
            <v>Cái</v>
          </cell>
          <cell r="E208">
            <v>380000</v>
          </cell>
          <cell r="G208">
            <v>304000</v>
          </cell>
          <cell r="H208">
            <v>300000</v>
          </cell>
          <cell r="I208">
            <v>323000</v>
          </cell>
        </row>
        <row r="209">
          <cell r="C209" t="str">
            <v>RS1162.46</v>
          </cell>
          <cell r="D209" t="str">
            <v>Cái</v>
          </cell>
          <cell r="E209">
            <v>400000</v>
          </cell>
          <cell r="G209">
            <v>320000</v>
          </cell>
          <cell r="H209">
            <v>320000</v>
          </cell>
          <cell r="I209">
            <v>340000</v>
          </cell>
        </row>
        <row r="210">
          <cell r="C210" t="str">
            <v>RS1182.46</v>
          </cell>
          <cell r="D210" t="str">
            <v>Cái</v>
          </cell>
          <cell r="E210">
            <v>440000</v>
          </cell>
          <cell r="G210">
            <v>352000</v>
          </cell>
          <cell r="H210">
            <v>350000</v>
          </cell>
          <cell r="I210">
            <v>374000</v>
          </cell>
        </row>
        <row r="211">
          <cell r="C211" t="str">
            <v>RS1222.46</v>
          </cell>
          <cell r="D211" t="str">
            <v>Cái</v>
          </cell>
          <cell r="E211">
            <v>510000</v>
          </cell>
          <cell r="G211">
            <v>408000</v>
          </cell>
          <cell r="H211">
            <v>410000</v>
          </cell>
          <cell r="I211">
            <v>433500</v>
          </cell>
        </row>
        <row r="212">
          <cell r="C212" t="str">
            <v>RS1103.46</v>
          </cell>
          <cell r="D212" t="str">
            <v>Cái</v>
          </cell>
          <cell r="E212">
            <v>380000</v>
          </cell>
          <cell r="G212">
            <v>304000</v>
          </cell>
          <cell r="H212">
            <v>300000</v>
          </cell>
          <cell r="I212">
            <v>323000</v>
          </cell>
        </row>
        <row r="213">
          <cell r="C213" t="str">
            <v>RS1123.46</v>
          </cell>
          <cell r="D213" t="str">
            <v>Cái</v>
          </cell>
          <cell r="E213">
            <v>395000</v>
          </cell>
          <cell r="G213">
            <v>316000</v>
          </cell>
          <cell r="H213">
            <v>310000</v>
          </cell>
          <cell r="I213">
            <v>335750</v>
          </cell>
        </row>
        <row r="214">
          <cell r="C214" t="str">
            <v>RS1143.46</v>
          </cell>
          <cell r="D214" t="str">
            <v>Cái</v>
          </cell>
          <cell r="E214">
            <v>410000</v>
          </cell>
          <cell r="G214">
            <v>328000</v>
          </cell>
          <cell r="H214">
            <v>320000</v>
          </cell>
          <cell r="I214">
            <v>348500</v>
          </cell>
        </row>
        <row r="215">
          <cell r="C215" t="str">
            <v>RS1163.46</v>
          </cell>
          <cell r="D215" t="str">
            <v>Cái</v>
          </cell>
          <cell r="E215">
            <v>430000</v>
          </cell>
          <cell r="G215">
            <v>344000</v>
          </cell>
          <cell r="H215">
            <v>340000</v>
          </cell>
          <cell r="I215">
            <v>365500</v>
          </cell>
        </row>
        <row r="216">
          <cell r="C216" t="str">
            <v>RS1183.46</v>
          </cell>
          <cell r="D216" t="str">
            <v>Cái</v>
          </cell>
          <cell r="E216">
            <v>470000</v>
          </cell>
          <cell r="G216">
            <v>376000</v>
          </cell>
          <cell r="H216">
            <v>370000</v>
          </cell>
          <cell r="I216">
            <v>399500</v>
          </cell>
        </row>
        <row r="217">
          <cell r="C217" t="str">
            <v>RS1223.46</v>
          </cell>
          <cell r="D217" t="str">
            <v>Cái</v>
          </cell>
          <cell r="E217">
            <v>535000</v>
          </cell>
          <cell r="G217">
            <v>428000</v>
          </cell>
          <cell r="H217">
            <v>430000</v>
          </cell>
          <cell r="I217">
            <v>454750</v>
          </cell>
        </row>
        <row r="218">
          <cell r="C218" t="str">
            <v>RT1102.57</v>
          </cell>
          <cell r="D218" t="str">
            <v>Cái</v>
          </cell>
          <cell r="E218">
            <v>325000</v>
          </cell>
          <cell r="G218">
            <v>260000</v>
          </cell>
          <cell r="H218">
            <v>260000</v>
          </cell>
          <cell r="I218">
            <v>276250</v>
          </cell>
        </row>
        <row r="219">
          <cell r="C219" t="str">
            <v>RT1122.57</v>
          </cell>
          <cell r="D219" t="str">
            <v>Cái</v>
          </cell>
          <cell r="E219">
            <v>340000</v>
          </cell>
          <cell r="G219">
            <v>272000</v>
          </cell>
          <cell r="H219">
            <v>270000</v>
          </cell>
          <cell r="I219">
            <v>289000</v>
          </cell>
        </row>
        <row r="220">
          <cell r="C220" t="str">
            <v>RT1142.57</v>
          </cell>
          <cell r="D220" t="str">
            <v>Cái</v>
          </cell>
          <cell r="E220">
            <v>355000</v>
          </cell>
          <cell r="G220">
            <v>284000</v>
          </cell>
          <cell r="H220">
            <v>280000</v>
          </cell>
          <cell r="I220">
            <v>301750</v>
          </cell>
        </row>
        <row r="221">
          <cell r="C221" t="str">
            <v>RT1162.57</v>
          </cell>
          <cell r="D221" t="str">
            <v>Cái</v>
          </cell>
          <cell r="E221">
            <v>375000</v>
          </cell>
          <cell r="G221">
            <v>300000</v>
          </cell>
          <cell r="H221">
            <v>300000</v>
          </cell>
          <cell r="I221">
            <v>318750</v>
          </cell>
        </row>
        <row r="222">
          <cell r="C222" t="str">
            <v>RT1182.57</v>
          </cell>
          <cell r="D222" t="str">
            <v>Cái</v>
          </cell>
          <cell r="E222">
            <v>414000</v>
          </cell>
          <cell r="G222">
            <v>331200</v>
          </cell>
          <cell r="H222">
            <v>330000</v>
          </cell>
          <cell r="I222">
            <v>351900</v>
          </cell>
        </row>
        <row r="223">
          <cell r="C223" t="str">
            <v>RT1222.57</v>
          </cell>
          <cell r="D223" t="str">
            <v>Cái</v>
          </cell>
          <cell r="E223">
            <v>490000</v>
          </cell>
          <cell r="G223">
            <v>392000</v>
          </cell>
          <cell r="H223">
            <v>370000</v>
          </cell>
          <cell r="I223">
            <v>416500</v>
          </cell>
        </row>
        <row r="224">
          <cell r="C224" t="str">
            <v>RT1103.57</v>
          </cell>
          <cell r="D224" t="str">
            <v>Cái</v>
          </cell>
          <cell r="E224">
            <v>350000</v>
          </cell>
          <cell r="G224">
            <v>280000</v>
          </cell>
          <cell r="H224">
            <v>280000</v>
          </cell>
          <cell r="I224">
            <v>297500</v>
          </cell>
        </row>
        <row r="225">
          <cell r="C225" t="str">
            <v>RT1123.57</v>
          </cell>
          <cell r="D225" t="str">
            <v>Cái</v>
          </cell>
          <cell r="E225">
            <v>365000</v>
          </cell>
          <cell r="G225">
            <v>292000</v>
          </cell>
          <cell r="H225">
            <v>290000</v>
          </cell>
          <cell r="I225">
            <v>310250</v>
          </cell>
        </row>
        <row r="226">
          <cell r="C226" t="str">
            <v>RT1143.57</v>
          </cell>
          <cell r="D226" t="str">
            <v>Cái</v>
          </cell>
          <cell r="E226">
            <v>380000</v>
          </cell>
          <cell r="G226">
            <v>304000</v>
          </cell>
          <cell r="H226">
            <v>300000</v>
          </cell>
          <cell r="I226">
            <v>323000</v>
          </cell>
        </row>
        <row r="227">
          <cell r="C227" t="str">
            <v>RT1163.57</v>
          </cell>
          <cell r="D227" t="str">
            <v>Cái</v>
          </cell>
          <cell r="E227">
            <v>400000</v>
          </cell>
          <cell r="G227">
            <v>320000</v>
          </cell>
          <cell r="H227">
            <v>320000</v>
          </cell>
          <cell r="I227">
            <v>340000</v>
          </cell>
        </row>
        <row r="228">
          <cell r="C228" t="str">
            <v>RT1183.57</v>
          </cell>
          <cell r="D228" t="str">
            <v>Cái</v>
          </cell>
          <cell r="E228">
            <v>440000</v>
          </cell>
          <cell r="G228">
            <v>352000</v>
          </cell>
          <cell r="H228">
            <v>350000</v>
          </cell>
          <cell r="I228">
            <v>374000</v>
          </cell>
        </row>
        <row r="229">
          <cell r="C229" t="str">
            <v>RT1223.57</v>
          </cell>
          <cell r="D229" t="str">
            <v>Cái</v>
          </cell>
          <cell r="E229">
            <v>513000</v>
          </cell>
          <cell r="G229">
            <v>410400</v>
          </cell>
          <cell r="H229">
            <v>400000</v>
          </cell>
          <cell r="I229">
            <v>436050</v>
          </cell>
        </row>
        <row r="230">
          <cell r="C230" t="str">
            <v>RT1102.46</v>
          </cell>
          <cell r="D230" t="str">
            <v>Cái</v>
          </cell>
          <cell r="E230">
            <v>325000</v>
          </cell>
          <cell r="G230">
            <v>260000</v>
          </cell>
          <cell r="H230">
            <v>260000</v>
          </cell>
          <cell r="I230">
            <v>276250</v>
          </cell>
        </row>
        <row r="231">
          <cell r="C231" t="str">
            <v>RT1122.46</v>
          </cell>
          <cell r="D231" t="str">
            <v>Cái</v>
          </cell>
          <cell r="E231">
            <v>340000</v>
          </cell>
          <cell r="G231">
            <v>272000</v>
          </cell>
          <cell r="H231">
            <v>270000</v>
          </cell>
          <cell r="I231">
            <v>289000</v>
          </cell>
        </row>
        <row r="232">
          <cell r="C232" t="str">
            <v>RT1142.46</v>
          </cell>
          <cell r="D232" t="str">
            <v>Cái</v>
          </cell>
          <cell r="E232">
            <v>355000</v>
          </cell>
          <cell r="G232">
            <v>284000</v>
          </cell>
          <cell r="H232">
            <v>280000</v>
          </cell>
          <cell r="I232">
            <v>301750</v>
          </cell>
        </row>
        <row r="233">
          <cell r="C233" t="str">
            <v>RT1162.46</v>
          </cell>
          <cell r="D233" t="str">
            <v>Cái</v>
          </cell>
          <cell r="E233">
            <v>375000</v>
          </cell>
          <cell r="G233">
            <v>300000</v>
          </cell>
          <cell r="H233">
            <v>300000</v>
          </cell>
          <cell r="I233">
            <v>318750</v>
          </cell>
        </row>
        <row r="234">
          <cell r="C234" t="str">
            <v>RT1182.46</v>
          </cell>
          <cell r="D234" t="str">
            <v>Cái</v>
          </cell>
          <cell r="E234">
            <v>414000</v>
          </cell>
          <cell r="G234">
            <v>331200</v>
          </cell>
          <cell r="H234">
            <v>330000</v>
          </cell>
          <cell r="I234">
            <v>351900</v>
          </cell>
        </row>
        <row r="235">
          <cell r="C235" t="str">
            <v>RT1222.46</v>
          </cell>
          <cell r="D235" t="str">
            <v>Cái</v>
          </cell>
          <cell r="E235">
            <v>490000</v>
          </cell>
          <cell r="G235">
            <v>392000</v>
          </cell>
          <cell r="H235">
            <v>370000</v>
          </cell>
          <cell r="I235">
            <v>416500</v>
          </cell>
        </row>
        <row r="236">
          <cell r="C236" t="str">
            <v>RT1103.46</v>
          </cell>
          <cell r="D236" t="str">
            <v>Cái</v>
          </cell>
          <cell r="E236">
            <v>350000</v>
          </cell>
          <cell r="G236">
            <v>280000</v>
          </cell>
          <cell r="H236">
            <v>280000</v>
          </cell>
          <cell r="I236">
            <v>297500</v>
          </cell>
        </row>
        <row r="237">
          <cell r="C237" t="str">
            <v>RT1123.46</v>
          </cell>
          <cell r="D237" t="str">
            <v>Cái</v>
          </cell>
          <cell r="E237">
            <v>365000</v>
          </cell>
          <cell r="G237">
            <v>292000</v>
          </cell>
          <cell r="H237">
            <v>290000</v>
          </cell>
          <cell r="I237">
            <v>310250</v>
          </cell>
        </row>
        <row r="238">
          <cell r="C238" t="str">
            <v>RT1143.46</v>
          </cell>
          <cell r="D238" t="str">
            <v>Cái</v>
          </cell>
          <cell r="E238">
            <v>380000</v>
          </cell>
          <cell r="G238">
            <v>304000</v>
          </cell>
          <cell r="H238">
            <v>300000</v>
          </cell>
          <cell r="I238">
            <v>323000</v>
          </cell>
        </row>
        <row r="239">
          <cell r="C239" t="str">
            <v>RT1163.46</v>
          </cell>
          <cell r="D239" t="str">
            <v>Cái</v>
          </cell>
          <cell r="E239">
            <v>400000</v>
          </cell>
          <cell r="G239">
            <v>320000</v>
          </cell>
          <cell r="H239">
            <v>320000</v>
          </cell>
          <cell r="I239">
            <v>340000</v>
          </cell>
        </row>
        <row r="240">
          <cell r="C240" t="str">
            <v>RT1183.46</v>
          </cell>
          <cell r="D240" t="str">
            <v>Cái</v>
          </cell>
          <cell r="E240">
            <v>440000</v>
          </cell>
          <cell r="G240">
            <v>352000</v>
          </cell>
          <cell r="H240">
            <v>350000</v>
          </cell>
          <cell r="I240">
            <v>374000</v>
          </cell>
        </row>
        <row r="241">
          <cell r="C241" t="str">
            <v>RT1223.46</v>
          </cell>
          <cell r="D241" t="str">
            <v>Cái</v>
          </cell>
          <cell r="E241">
            <v>513000</v>
          </cell>
          <cell r="G241">
            <v>410400</v>
          </cell>
          <cell r="H241">
            <v>400000</v>
          </cell>
          <cell r="I241">
            <v>436050</v>
          </cell>
        </row>
        <row r="242">
          <cell r="C242" t="str">
            <v>RS1VG57.2</v>
          </cell>
          <cell r="D242" t="str">
            <v>Cái</v>
          </cell>
          <cell r="E242">
            <v>120000</v>
          </cell>
          <cell r="G242">
            <v>96000</v>
          </cell>
          <cell r="H242">
            <v>96000</v>
          </cell>
          <cell r="I242">
            <v>102000</v>
          </cell>
        </row>
        <row r="243">
          <cell r="C243" t="str">
            <v>RS1VG46.2</v>
          </cell>
          <cell r="D243" t="str">
            <v>Cái</v>
          </cell>
          <cell r="E243">
            <v>110000</v>
          </cell>
          <cell r="G243">
            <v>88000</v>
          </cell>
          <cell r="H243">
            <v>88000</v>
          </cell>
          <cell r="I243">
            <v>93500</v>
          </cell>
        </row>
        <row r="244">
          <cell r="C244" t="str">
            <v>RT1VG57.2</v>
          </cell>
          <cell r="D244" t="str">
            <v>Cái</v>
          </cell>
          <cell r="E244">
            <v>110000</v>
          </cell>
          <cell r="G244">
            <v>88000</v>
          </cell>
          <cell r="H244">
            <v>88000</v>
          </cell>
          <cell r="I244">
            <v>93500</v>
          </cell>
        </row>
        <row r="245">
          <cell r="C245" t="str">
            <v>RT1VG46.2</v>
          </cell>
          <cell r="D245" t="str">
            <v>Cái</v>
          </cell>
          <cell r="E245">
            <v>100000</v>
          </cell>
          <cell r="G245">
            <v>80000</v>
          </cell>
          <cell r="H245">
            <v>80000</v>
          </cell>
          <cell r="I245">
            <v>85000</v>
          </cell>
        </row>
        <row r="246">
          <cell r="C246" t="str">
            <v>NemNhat1m.aonem</v>
          </cell>
          <cell r="D246" t="str">
            <v>Cái</v>
          </cell>
          <cell r="E246">
            <v>560000</v>
          </cell>
          <cell r="G246">
            <v>448000</v>
          </cell>
          <cell r="H246">
            <v>450000</v>
          </cell>
          <cell r="I246">
            <v>476000</v>
          </cell>
        </row>
        <row r="247">
          <cell r="C247" t="str">
            <v>NemNhat1.2m.aonem</v>
          </cell>
          <cell r="D247" t="str">
            <v>Cái</v>
          </cell>
          <cell r="E247">
            <v>650000</v>
          </cell>
          <cell r="G247">
            <v>520000</v>
          </cell>
          <cell r="H247">
            <v>520000</v>
          </cell>
          <cell r="I247">
            <v>552500</v>
          </cell>
        </row>
        <row r="248">
          <cell r="C248" t="str">
            <v>NemNhat1.4m.aonem</v>
          </cell>
          <cell r="D248" t="str">
            <v>Cái</v>
          </cell>
          <cell r="E248">
            <v>740000</v>
          </cell>
          <cell r="G248">
            <v>592000</v>
          </cell>
          <cell r="H248">
            <v>590000</v>
          </cell>
          <cell r="I248">
            <v>629000</v>
          </cell>
        </row>
        <row r="249">
          <cell r="C249" t="str">
            <v>NemNhat1.6m.aonem</v>
          </cell>
          <cell r="D249" t="str">
            <v>Cái</v>
          </cell>
          <cell r="E249">
            <v>830000</v>
          </cell>
          <cell r="G249">
            <v>664000</v>
          </cell>
          <cell r="H249">
            <v>660000</v>
          </cell>
          <cell r="I249">
            <v>705500</v>
          </cell>
        </row>
        <row r="250">
          <cell r="C250" t="str">
            <v>NemNhat1.8m.aonem</v>
          </cell>
          <cell r="D250" t="str">
            <v>Cái</v>
          </cell>
          <cell r="E250">
            <v>900000</v>
          </cell>
          <cell r="G250">
            <v>720000</v>
          </cell>
          <cell r="H250">
            <v>720000</v>
          </cell>
          <cell r="I250">
            <v>765000</v>
          </cell>
        </row>
        <row r="251">
          <cell r="C251" t="str">
            <v>NemNhat1m.combo</v>
          </cell>
          <cell r="D251" t="str">
            <v>Cái</v>
          </cell>
          <cell r="E251">
            <v>610000</v>
          </cell>
          <cell r="G251">
            <v>488000</v>
          </cell>
          <cell r="H251">
            <v>490000</v>
          </cell>
          <cell r="I251">
            <v>518500</v>
          </cell>
        </row>
        <row r="252">
          <cell r="C252" t="str">
            <v>NemNhat1.2m.combo</v>
          </cell>
          <cell r="D252" t="str">
            <v>Cái</v>
          </cell>
          <cell r="E252">
            <v>700000</v>
          </cell>
          <cell r="G252">
            <v>560000</v>
          </cell>
          <cell r="H252">
            <v>560000</v>
          </cell>
          <cell r="I252">
            <v>595000</v>
          </cell>
        </row>
        <row r="253">
          <cell r="C253" t="str">
            <v>NemNhat1.4m.combo</v>
          </cell>
          <cell r="D253" t="str">
            <v>Cái</v>
          </cell>
          <cell r="E253">
            <v>790000</v>
          </cell>
          <cell r="G253">
            <v>632000</v>
          </cell>
          <cell r="H253">
            <v>630000</v>
          </cell>
          <cell r="I253">
            <v>671500</v>
          </cell>
        </row>
        <row r="254">
          <cell r="C254" t="str">
            <v>NemNhat1.6m.combo</v>
          </cell>
          <cell r="D254" t="str">
            <v>Cái</v>
          </cell>
          <cell r="E254">
            <v>880000</v>
          </cell>
          <cell r="G254">
            <v>704000</v>
          </cell>
          <cell r="H254">
            <v>700000</v>
          </cell>
          <cell r="I254">
            <v>748000</v>
          </cell>
        </row>
        <row r="255">
          <cell r="C255" t="str">
            <v>NemNhat1.8m.combo</v>
          </cell>
          <cell r="D255" t="str">
            <v>Cái</v>
          </cell>
          <cell r="E255">
            <v>950000</v>
          </cell>
          <cell r="G255">
            <v>760000</v>
          </cell>
          <cell r="H255">
            <v>760000</v>
          </cell>
          <cell r="I255">
            <v>807500</v>
          </cell>
        </row>
        <row r="256">
          <cell r="C256" t="str">
            <v>NemNhat1m.BVN</v>
          </cell>
          <cell r="D256" t="str">
            <v>Cái</v>
          </cell>
          <cell r="E256">
            <v>560000</v>
          </cell>
          <cell r="G256">
            <v>448000</v>
          </cell>
          <cell r="H256">
            <v>450000</v>
          </cell>
          <cell r="I256">
            <v>476000</v>
          </cell>
        </row>
        <row r="257">
          <cell r="C257" t="str">
            <v>NemNhat1.2m.BVN</v>
          </cell>
          <cell r="D257" t="str">
            <v>Cái</v>
          </cell>
          <cell r="E257">
            <v>650000</v>
          </cell>
          <cell r="G257">
            <v>520000</v>
          </cell>
          <cell r="H257">
            <v>520000</v>
          </cell>
          <cell r="I257">
            <v>552500</v>
          </cell>
        </row>
        <row r="258">
          <cell r="C258" t="str">
            <v>NemNhat1.4m.BVN</v>
          </cell>
          <cell r="D258" t="str">
            <v>Cái</v>
          </cell>
          <cell r="E258">
            <v>740000</v>
          </cell>
          <cell r="G258">
            <v>592000</v>
          </cell>
          <cell r="H258">
            <v>590000</v>
          </cell>
          <cell r="I258">
            <v>629000</v>
          </cell>
        </row>
        <row r="259">
          <cell r="C259" t="str">
            <v>NemNhat1.6m.BVN</v>
          </cell>
          <cell r="D259" t="str">
            <v>Cái</v>
          </cell>
          <cell r="E259">
            <v>830000</v>
          </cell>
          <cell r="G259">
            <v>664000</v>
          </cell>
          <cell r="H259">
            <v>660000</v>
          </cell>
          <cell r="I259">
            <v>705500</v>
          </cell>
        </row>
        <row r="260">
          <cell r="C260" t="str">
            <v>NemNhat1.8m.BVN</v>
          </cell>
          <cell r="D260" t="str">
            <v>Cái</v>
          </cell>
          <cell r="E260">
            <v>900000</v>
          </cell>
          <cell r="G260">
            <v>720000</v>
          </cell>
          <cell r="H260">
            <v>720000</v>
          </cell>
          <cell r="I260">
            <v>765000</v>
          </cell>
        </row>
        <row r="261">
          <cell r="C261" t="str">
            <v>NemNhat1m.aonem.BVN</v>
          </cell>
          <cell r="D261" t="str">
            <v>Cái</v>
          </cell>
          <cell r="E261">
            <v>685000</v>
          </cell>
          <cell r="G261">
            <v>548000</v>
          </cell>
          <cell r="H261">
            <v>550000</v>
          </cell>
          <cell r="I261">
            <v>582250</v>
          </cell>
        </row>
        <row r="262">
          <cell r="C262" t="str">
            <v>NemNhat1.2m.aonem.BVN</v>
          </cell>
          <cell r="D262" t="str">
            <v>Cái</v>
          </cell>
          <cell r="E262">
            <v>770000</v>
          </cell>
          <cell r="G262">
            <v>616000</v>
          </cell>
          <cell r="H262">
            <v>620000</v>
          </cell>
          <cell r="I262">
            <v>654500</v>
          </cell>
        </row>
        <row r="263">
          <cell r="C263" t="str">
            <v>NemNhat1.4m.aonem.BVN</v>
          </cell>
          <cell r="D263" t="str">
            <v>Cái</v>
          </cell>
          <cell r="E263">
            <v>860000</v>
          </cell>
          <cell r="G263">
            <v>688000</v>
          </cell>
          <cell r="H263">
            <v>690000</v>
          </cell>
          <cell r="I263">
            <v>731000</v>
          </cell>
        </row>
        <row r="264">
          <cell r="C264" t="str">
            <v>NemNhat1.6m.aonem.BVN</v>
          </cell>
          <cell r="D264" t="str">
            <v>Cái</v>
          </cell>
          <cell r="E264">
            <v>950000</v>
          </cell>
          <cell r="G264">
            <v>760000</v>
          </cell>
          <cell r="H264">
            <v>760000</v>
          </cell>
          <cell r="I264">
            <v>807500</v>
          </cell>
        </row>
        <row r="265">
          <cell r="C265" t="str">
            <v>NemNhat1.8m.aonem.BVN</v>
          </cell>
          <cell r="D265" t="str">
            <v>Cái</v>
          </cell>
          <cell r="E265">
            <v>1000000</v>
          </cell>
          <cell r="G265">
            <v>800000</v>
          </cell>
          <cell r="H265">
            <v>820000</v>
          </cell>
          <cell r="I265">
            <v>850000</v>
          </cell>
        </row>
        <row r="266">
          <cell r="C266" t="str">
            <v>NemVP80.goi</v>
          </cell>
          <cell r="D266" t="str">
            <v>Cái</v>
          </cell>
          <cell r="E266">
            <v>290000</v>
          </cell>
          <cell r="G266">
            <v>232000</v>
          </cell>
          <cell r="H266">
            <v>230000</v>
          </cell>
          <cell r="I266">
            <v>246500</v>
          </cell>
          <cell r="J266">
            <v>165000</v>
          </cell>
        </row>
        <row r="267">
          <cell r="C267" t="str">
            <v>NemVP1m.goi</v>
          </cell>
          <cell r="D267" t="str">
            <v>Cái</v>
          </cell>
          <cell r="E267">
            <v>320000</v>
          </cell>
          <cell r="G267">
            <v>256000</v>
          </cell>
          <cell r="H267">
            <v>250000</v>
          </cell>
          <cell r="I267">
            <v>272000</v>
          </cell>
          <cell r="J267">
            <v>195000</v>
          </cell>
        </row>
        <row r="268">
          <cell r="C268" t="str">
            <v>NemVP1m6.goi</v>
          </cell>
          <cell r="D268" t="str">
            <v>Cái</v>
          </cell>
          <cell r="E268">
            <v>370000</v>
          </cell>
          <cell r="G268">
            <v>296000</v>
          </cell>
          <cell r="H268">
            <v>290000</v>
          </cell>
          <cell r="I268">
            <v>314500</v>
          </cell>
        </row>
        <row r="269">
          <cell r="C269" t="str">
            <v>Nemebe.coom</v>
          </cell>
          <cell r="D269" t="str">
            <v>Cái</v>
          </cell>
          <cell r="E269">
            <v>320000</v>
          </cell>
          <cell r="G269">
            <v>256000</v>
          </cell>
          <cell r="H269">
            <v>250000</v>
          </cell>
          <cell r="I269">
            <v>272000</v>
          </cell>
        </row>
        <row r="270">
          <cell r="C270" t="str">
            <v>Nemebe.koom</v>
          </cell>
          <cell r="D270" t="str">
            <v>Cái</v>
          </cell>
          <cell r="E270">
            <v>250000</v>
          </cell>
          <cell r="G270">
            <v>200000</v>
          </cell>
          <cell r="H270">
            <v>200000</v>
          </cell>
          <cell r="I270">
            <v>212500</v>
          </cell>
        </row>
        <row r="271">
          <cell r="C271" t="str">
            <v>RGAT50.VG</v>
          </cell>
          <cell r="D271" t="str">
            <v>Cái</v>
          </cell>
          <cell r="E271">
            <v>80000</v>
          </cell>
          <cell r="G271">
            <v>64000</v>
          </cell>
          <cell r="H271">
            <v>60000</v>
          </cell>
          <cell r="I271">
            <v>68000</v>
          </cell>
          <cell r="J271">
            <v>35000</v>
          </cell>
        </row>
        <row r="272">
          <cell r="C272" t="str">
            <v>RGAT6T.VG</v>
          </cell>
          <cell r="D272" t="str">
            <v>Cái</v>
          </cell>
          <cell r="E272">
            <v>100000</v>
          </cell>
          <cell r="G272">
            <v>80000</v>
          </cell>
          <cell r="H272">
            <v>80000</v>
          </cell>
          <cell r="I272">
            <v>85000</v>
          </cell>
          <cell r="J272">
            <v>60000</v>
          </cell>
        </row>
        <row r="273">
          <cell r="C273" t="str">
            <v>Gapoly1m.3</v>
          </cell>
          <cell r="D273" t="str">
            <v>Cái</v>
          </cell>
          <cell r="E273">
            <v>120000</v>
          </cell>
          <cell r="G273">
            <v>96000</v>
          </cell>
          <cell r="H273">
            <v>84000</v>
          </cell>
          <cell r="I273">
            <v>96000</v>
          </cell>
          <cell r="J273">
            <v>65000</v>
          </cell>
        </row>
        <row r="274">
          <cell r="C274" t="str">
            <v>Gapoly1.2m.3</v>
          </cell>
          <cell r="D274" t="str">
            <v>Cái</v>
          </cell>
          <cell r="E274">
            <v>120000</v>
          </cell>
          <cell r="G274">
            <v>96000</v>
          </cell>
          <cell r="H274">
            <v>84000</v>
          </cell>
          <cell r="I274">
            <v>96000</v>
          </cell>
          <cell r="J274">
            <v>65000</v>
          </cell>
        </row>
        <row r="275">
          <cell r="C275" t="str">
            <v>Gapoly1.4m.3</v>
          </cell>
          <cell r="D275" t="str">
            <v>Cái</v>
          </cell>
          <cell r="E275">
            <v>120000</v>
          </cell>
          <cell r="G275">
            <v>96000</v>
          </cell>
          <cell r="H275">
            <v>84000</v>
          </cell>
          <cell r="I275">
            <v>96000</v>
          </cell>
          <cell r="J275">
            <v>65000</v>
          </cell>
        </row>
        <row r="276">
          <cell r="C276" t="str">
            <v>Gapoly1.6m.3</v>
          </cell>
          <cell r="D276" t="str">
            <v>Cái</v>
          </cell>
          <cell r="E276">
            <v>120000</v>
          </cell>
          <cell r="G276">
            <v>96000</v>
          </cell>
          <cell r="H276">
            <v>84000</v>
          </cell>
          <cell r="I276">
            <v>96000</v>
          </cell>
          <cell r="J276">
            <v>65000</v>
          </cell>
        </row>
        <row r="277">
          <cell r="C277" t="str">
            <v>Gapoly1.8m.3</v>
          </cell>
          <cell r="D277" t="str">
            <v>Cái</v>
          </cell>
          <cell r="E277">
            <v>120000</v>
          </cell>
          <cell r="G277">
            <v>96000</v>
          </cell>
          <cell r="H277">
            <v>84000</v>
          </cell>
          <cell r="I277">
            <v>96000</v>
          </cell>
          <cell r="J277">
            <v>65000</v>
          </cell>
        </row>
        <row r="278">
          <cell r="C278" t="str">
            <v>Gapoly1m.4</v>
          </cell>
          <cell r="D278" t="str">
            <v>Cái</v>
          </cell>
          <cell r="E278">
            <v>140000</v>
          </cell>
          <cell r="G278">
            <v>98000</v>
          </cell>
          <cell r="H278">
            <v>98000</v>
          </cell>
          <cell r="I278">
            <v>112000</v>
          </cell>
          <cell r="J278">
            <v>75000</v>
          </cell>
        </row>
        <row r="279">
          <cell r="C279" t="str">
            <v>Gapoly1.2m.4</v>
          </cell>
          <cell r="D279" t="str">
            <v>Cái</v>
          </cell>
          <cell r="E279">
            <v>140000</v>
          </cell>
          <cell r="G279">
            <v>98000</v>
          </cell>
          <cell r="H279">
            <v>98000</v>
          </cell>
          <cell r="I279">
            <v>112000</v>
          </cell>
          <cell r="J279">
            <v>75000</v>
          </cell>
        </row>
        <row r="280">
          <cell r="C280" t="str">
            <v>Gapoly1.4m.4</v>
          </cell>
          <cell r="D280" t="str">
            <v>Cái</v>
          </cell>
          <cell r="E280">
            <v>140000</v>
          </cell>
          <cell r="G280">
            <v>98000</v>
          </cell>
          <cell r="H280">
            <v>98000</v>
          </cell>
          <cell r="I280">
            <v>112000</v>
          </cell>
          <cell r="J280">
            <v>75000</v>
          </cell>
        </row>
        <row r="281">
          <cell r="C281" t="str">
            <v>Gapoly1.6m.4</v>
          </cell>
          <cell r="D281" t="str">
            <v>Cái</v>
          </cell>
          <cell r="E281">
            <v>140000</v>
          </cell>
          <cell r="G281">
            <v>98000</v>
          </cell>
          <cell r="H281">
            <v>98000</v>
          </cell>
          <cell r="I281">
            <v>112000</v>
          </cell>
          <cell r="J281">
            <v>75000</v>
          </cell>
        </row>
        <row r="282">
          <cell r="C282" t="str">
            <v>Gapoly1.8m.4</v>
          </cell>
          <cell r="D282" t="str">
            <v>Cái</v>
          </cell>
          <cell r="E282">
            <v>140000</v>
          </cell>
          <cell r="G282">
            <v>98000</v>
          </cell>
          <cell r="H282">
            <v>98000</v>
          </cell>
          <cell r="I282">
            <v>112000</v>
          </cell>
          <cell r="J282">
            <v>75000</v>
          </cell>
        </row>
        <row r="283">
          <cell r="C283" t="str">
            <v>Gapoly1m.5</v>
          </cell>
          <cell r="D283" t="str">
            <v>Cái</v>
          </cell>
          <cell r="E283">
            <v>330000</v>
          </cell>
          <cell r="G283">
            <v>230999.99999999997</v>
          </cell>
          <cell r="H283">
            <v>231000</v>
          </cell>
          <cell r="I283">
            <v>264000</v>
          </cell>
        </row>
        <row r="284">
          <cell r="C284" t="str">
            <v>Gapoly1.2m.5</v>
          </cell>
          <cell r="D284" t="str">
            <v>Cái</v>
          </cell>
          <cell r="E284">
            <v>330000</v>
          </cell>
          <cell r="G284">
            <v>230999.99999999997</v>
          </cell>
          <cell r="H284">
            <v>231000</v>
          </cell>
          <cell r="I284">
            <v>264000</v>
          </cell>
        </row>
        <row r="285">
          <cell r="C285" t="str">
            <v>Gapoly1.4m.5</v>
          </cell>
          <cell r="D285" t="str">
            <v>Cái</v>
          </cell>
          <cell r="E285">
            <v>330000</v>
          </cell>
          <cell r="G285">
            <v>230999.99999999997</v>
          </cell>
          <cell r="H285">
            <v>231000</v>
          </cell>
          <cell r="I285">
            <v>264000</v>
          </cell>
        </row>
        <row r="286">
          <cell r="C286" t="str">
            <v>Gapoly1.6m.5</v>
          </cell>
          <cell r="D286" t="str">
            <v>Cái</v>
          </cell>
          <cell r="E286">
            <v>330000</v>
          </cell>
          <cell r="G286">
            <v>230999.99999999997</v>
          </cell>
          <cell r="H286">
            <v>231000</v>
          </cell>
          <cell r="I286">
            <v>264000</v>
          </cell>
        </row>
        <row r="287">
          <cell r="C287" t="str">
            <v>Gapoly1.8m.5</v>
          </cell>
          <cell r="D287" t="str">
            <v>Cái</v>
          </cell>
          <cell r="E287">
            <v>330000</v>
          </cell>
          <cell r="G287">
            <v>230999.99999999997</v>
          </cell>
          <cell r="H287">
            <v>231000</v>
          </cell>
          <cell r="I287">
            <v>264000</v>
          </cell>
        </row>
        <row r="288">
          <cell r="C288" t="str">
            <v>KM60HQ</v>
          </cell>
          <cell r="D288" t="str">
            <v>Cái</v>
          </cell>
          <cell r="E288">
            <v>18000</v>
          </cell>
          <cell r="G288">
            <v>12600</v>
          </cell>
          <cell r="I288">
            <v>14400</v>
          </cell>
        </row>
        <row r="289">
          <cell r="C289" t="str">
            <v>KM100HQ</v>
          </cell>
          <cell r="D289" t="str">
            <v>Cái</v>
          </cell>
          <cell r="E289">
            <v>30000</v>
          </cell>
          <cell r="G289">
            <v>21000</v>
          </cell>
          <cell r="I289">
            <v>24000</v>
          </cell>
        </row>
        <row r="290">
          <cell r="C290" t="str">
            <v>KM140HQ</v>
          </cell>
          <cell r="D290" t="str">
            <v>Cái</v>
          </cell>
        </row>
        <row r="291">
          <cell r="C291" t="str">
            <v>KT250HQ</v>
          </cell>
          <cell r="D291" t="str">
            <v>Cái</v>
          </cell>
        </row>
        <row r="292">
          <cell r="C292" t="str">
            <v>KT250HQ</v>
          </cell>
          <cell r="D292" t="str">
            <v>Cái</v>
          </cell>
        </row>
        <row r="293">
          <cell r="D293" t="str">
            <v>Cái</v>
          </cell>
        </row>
        <row r="294">
          <cell r="D294" t="str">
            <v>Cái</v>
          </cell>
        </row>
        <row r="295">
          <cell r="D295" t="str">
            <v>Cái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13A9-6660-D34B-90DA-43D9FDD89F0E}">
  <dimension ref="A1:F179"/>
  <sheetViews>
    <sheetView topLeftCell="A35" workbookViewId="0">
      <selection activeCell="A53" sqref="A53:E53"/>
    </sheetView>
  </sheetViews>
  <sheetFormatPr defaultColWidth="10.33203125" defaultRowHeight="15.6" x14ac:dyDescent="0.3"/>
  <cols>
    <col min="1" max="1" width="6.33203125" style="1" customWidth="1"/>
    <col min="2" max="2" width="49.6640625" style="1" customWidth="1"/>
    <col min="3" max="3" width="19" style="1" customWidth="1"/>
    <col min="4" max="4" width="9.44140625" style="1" customWidth="1"/>
    <col min="5" max="5" width="23.109375" style="7" customWidth="1"/>
    <col min="6" max="6" width="15" style="1" customWidth="1"/>
    <col min="7" max="7" width="10.33203125" style="1"/>
    <col min="8" max="8" width="42.6640625" style="1" customWidth="1"/>
    <col min="9" max="16384" width="10.33203125" style="1"/>
  </cols>
  <sheetData>
    <row r="1" spans="1:6" ht="25.05" customHeight="1" x14ac:dyDescent="0.3">
      <c r="A1" s="97"/>
      <c r="B1" s="98"/>
      <c r="C1" s="103" t="s">
        <v>232</v>
      </c>
      <c r="D1" s="104"/>
      <c r="E1" s="104"/>
    </row>
    <row r="2" spans="1:6" x14ac:dyDescent="0.3">
      <c r="A2" s="99"/>
      <c r="B2" s="100"/>
      <c r="C2" s="103"/>
      <c r="D2" s="104"/>
      <c r="E2" s="104"/>
    </row>
    <row r="3" spans="1:6" x14ac:dyDescent="0.3">
      <c r="A3" s="99"/>
      <c r="B3" s="100"/>
      <c r="C3" s="103"/>
      <c r="D3" s="104"/>
      <c r="E3" s="104"/>
    </row>
    <row r="4" spans="1:6" ht="17.25" customHeight="1" x14ac:dyDescent="0.3">
      <c r="A4" s="99"/>
      <c r="B4" s="100"/>
      <c r="C4" s="103"/>
      <c r="D4" s="104"/>
      <c r="E4" s="104"/>
    </row>
    <row r="5" spans="1:6" ht="37.950000000000003" customHeight="1" x14ac:dyDescent="0.3">
      <c r="A5" s="101"/>
      <c r="B5" s="102"/>
      <c r="C5" s="103"/>
      <c r="D5" s="104"/>
      <c r="E5" s="104"/>
    </row>
    <row r="6" spans="1:6" ht="34.5" customHeight="1" x14ac:dyDescent="0.3">
      <c r="A6" s="105" t="s">
        <v>233</v>
      </c>
      <c r="B6" s="106"/>
      <c r="C6" s="106"/>
      <c r="D6" s="106"/>
      <c r="E6" s="106"/>
    </row>
    <row r="7" spans="1:6" ht="28.5" customHeight="1" x14ac:dyDescent="0.3">
      <c r="A7" s="107" t="s">
        <v>668</v>
      </c>
      <c r="B7" s="108"/>
      <c r="C7" s="108"/>
      <c r="D7" s="108"/>
      <c r="E7" s="108"/>
    </row>
    <row r="8" spans="1:6" ht="68.25" customHeight="1" x14ac:dyDescent="0.3">
      <c r="A8" s="8" t="s">
        <v>0</v>
      </c>
      <c r="B8" s="8" t="s">
        <v>1</v>
      </c>
      <c r="C8" s="8" t="s">
        <v>2</v>
      </c>
      <c r="D8" s="8" t="s">
        <v>3</v>
      </c>
      <c r="E8" s="9" t="s">
        <v>4</v>
      </c>
      <c r="F8" s="2" t="s">
        <v>303</v>
      </c>
    </row>
    <row r="9" spans="1:6" ht="26.25" customHeight="1" x14ac:dyDescent="0.3">
      <c r="A9" s="109" t="s">
        <v>850</v>
      </c>
      <c r="B9" s="110"/>
      <c r="C9" s="110"/>
      <c r="D9" s="110"/>
      <c r="E9" s="110"/>
    </row>
    <row r="10" spans="1:6" ht="16.8" x14ac:dyDescent="0.3">
      <c r="A10" s="10">
        <v>1</v>
      </c>
      <c r="B10" s="11" t="s">
        <v>853</v>
      </c>
      <c r="C10" s="11" t="s">
        <v>334</v>
      </c>
      <c r="D10" s="10" t="s">
        <v>6</v>
      </c>
      <c r="E10" s="12">
        <v>120000</v>
      </c>
      <c r="F10" s="6">
        <v>90000</v>
      </c>
    </row>
    <row r="11" spans="1:6" ht="16.8" x14ac:dyDescent="0.3">
      <c r="A11" s="10">
        <v>2</v>
      </c>
      <c r="B11" s="11" t="s">
        <v>852</v>
      </c>
      <c r="C11" s="11" t="s">
        <v>335</v>
      </c>
      <c r="D11" s="10" t="s">
        <v>6</v>
      </c>
      <c r="E11" s="12">
        <v>130000</v>
      </c>
      <c r="F11" s="6">
        <v>100000</v>
      </c>
    </row>
    <row r="12" spans="1:6" ht="16.8" x14ac:dyDescent="0.3">
      <c r="A12" s="10">
        <v>3</v>
      </c>
      <c r="B12" s="11" t="s">
        <v>851</v>
      </c>
      <c r="C12" s="11" t="s">
        <v>336</v>
      </c>
      <c r="D12" s="10" t="s">
        <v>6</v>
      </c>
      <c r="E12" s="12">
        <v>140000</v>
      </c>
      <c r="F12" s="6">
        <v>110000</v>
      </c>
    </row>
    <row r="13" spans="1:6" ht="16.8" x14ac:dyDescent="0.3">
      <c r="A13" s="10">
        <v>4</v>
      </c>
      <c r="B13" s="11" t="s">
        <v>854</v>
      </c>
      <c r="C13" s="11" t="s">
        <v>337</v>
      </c>
      <c r="D13" s="10" t="s">
        <v>6</v>
      </c>
      <c r="E13" s="12">
        <v>150000</v>
      </c>
      <c r="F13" s="6">
        <v>120000</v>
      </c>
    </row>
    <row r="14" spans="1:6" ht="16.8" x14ac:dyDescent="0.3">
      <c r="A14" s="10">
        <v>5</v>
      </c>
      <c r="B14" s="11" t="s">
        <v>855</v>
      </c>
      <c r="C14" s="11" t="s">
        <v>338</v>
      </c>
      <c r="D14" s="10" t="s">
        <v>6</v>
      </c>
      <c r="E14" s="12">
        <v>160000</v>
      </c>
      <c r="F14" s="6">
        <v>130000</v>
      </c>
    </row>
    <row r="15" spans="1:6" ht="16.8" x14ac:dyDescent="0.3">
      <c r="A15" s="10">
        <v>6</v>
      </c>
      <c r="B15" s="11" t="s">
        <v>889</v>
      </c>
      <c r="C15" s="11" t="s">
        <v>890</v>
      </c>
      <c r="D15" s="10" t="s">
        <v>6</v>
      </c>
      <c r="E15" s="12">
        <v>180000</v>
      </c>
      <c r="F15" s="6">
        <v>145000</v>
      </c>
    </row>
    <row r="16" spans="1:6" ht="16.8" x14ac:dyDescent="0.3">
      <c r="A16" s="10">
        <v>7</v>
      </c>
      <c r="B16" s="11" t="s">
        <v>856</v>
      </c>
      <c r="C16" s="11" t="s">
        <v>339</v>
      </c>
      <c r="D16" s="10" t="s">
        <v>6</v>
      </c>
      <c r="E16" s="12">
        <v>200000</v>
      </c>
      <c r="F16" s="6">
        <v>160000</v>
      </c>
    </row>
    <row r="17" spans="1:6" ht="16.8" x14ac:dyDescent="0.3">
      <c r="A17" s="10">
        <v>8</v>
      </c>
      <c r="B17" s="11" t="s">
        <v>857</v>
      </c>
      <c r="C17" s="11" t="s">
        <v>340</v>
      </c>
      <c r="D17" s="10" t="s">
        <v>6</v>
      </c>
      <c r="E17" s="12">
        <v>140000</v>
      </c>
      <c r="F17" s="6">
        <v>110000</v>
      </c>
    </row>
    <row r="18" spans="1:6" ht="16.8" x14ac:dyDescent="0.3">
      <c r="A18" s="10">
        <v>9</v>
      </c>
      <c r="B18" s="11" t="s">
        <v>858</v>
      </c>
      <c r="C18" s="11" t="s">
        <v>341</v>
      </c>
      <c r="D18" s="10" t="s">
        <v>6</v>
      </c>
      <c r="E18" s="12">
        <v>150000</v>
      </c>
      <c r="F18" s="6">
        <v>120000</v>
      </c>
    </row>
    <row r="19" spans="1:6" ht="16.8" x14ac:dyDescent="0.3">
      <c r="A19" s="10">
        <v>10</v>
      </c>
      <c r="B19" s="11" t="s">
        <v>859</v>
      </c>
      <c r="C19" s="11" t="s">
        <v>342</v>
      </c>
      <c r="D19" s="10" t="s">
        <v>6</v>
      </c>
      <c r="E19" s="12">
        <v>160000</v>
      </c>
      <c r="F19" s="6">
        <v>130000</v>
      </c>
    </row>
    <row r="20" spans="1:6" ht="16.8" x14ac:dyDescent="0.3">
      <c r="A20" s="10">
        <v>11</v>
      </c>
      <c r="B20" s="11" t="s">
        <v>860</v>
      </c>
      <c r="C20" s="11" t="s">
        <v>343</v>
      </c>
      <c r="D20" s="10" t="s">
        <v>6</v>
      </c>
      <c r="E20" s="12">
        <v>170000</v>
      </c>
      <c r="F20" s="6">
        <v>140000</v>
      </c>
    </row>
    <row r="21" spans="1:6" ht="16.8" x14ac:dyDescent="0.3">
      <c r="A21" s="10">
        <v>12</v>
      </c>
      <c r="B21" s="11" t="s">
        <v>861</v>
      </c>
      <c r="C21" s="11" t="s">
        <v>344</v>
      </c>
      <c r="D21" s="10" t="s">
        <v>6</v>
      </c>
      <c r="E21" s="12">
        <v>180000</v>
      </c>
      <c r="F21" s="6">
        <v>150000</v>
      </c>
    </row>
    <row r="22" spans="1:6" ht="16.8" x14ac:dyDescent="0.3">
      <c r="A22" s="10">
        <v>13</v>
      </c>
      <c r="B22" s="11" t="s">
        <v>891</v>
      </c>
      <c r="C22" s="11" t="s">
        <v>892</v>
      </c>
      <c r="D22" s="10" t="s">
        <v>6</v>
      </c>
      <c r="E22" s="12">
        <v>200000</v>
      </c>
      <c r="F22" s="6">
        <v>165000</v>
      </c>
    </row>
    <row r="23" spans="1:6" ht="16.8" x14ac:dyDescent="0.3">
      <c r="A23" s="10">
        <v>14</v>
      </c>
      <c r="B23" s="11" t="s">
        <v>862</v>
      </c>
      <c r="C23" s="11" t="s">
        <v>345</v>
      </c>
      <c r="D23" s="10" t="s">
        <v>6</v>
      </c>
      <c r="E23" s="12">
        <v>220000</v>
      </c>
      <c r="F23" s="6">
        <v>180000</v>
      </c>
    </row>
    <row r="24" spans="1:6" ht="16.8" x14ac:dyDescent="0.3">
      <c r="A24" s="10">
        <v>15</v>
      </c>
      <c r="B24" s="11" t="s">
        <v>863</v>
      </c>
      <c r="C24" s="11" t="s">
        <v>346</v>
      </c>
      <c r="D24" s="10" t="s">
        <v>6</v>
      </c>
      <c r="E24" s="12">
        <v>160000</v>
      </c>
      <c r="F24" s="6">
        <v>130000</v>
      </c>
    </row>
    <row r="25" spans="1:6" ht="16.8" x14ac:dyDescent="0.3">
      <c r="A25" s="10">
        <v>16</v>
      </c>
      <c r="B25" s="11" t="s">
        <v>864</v>
      </c>
      <c r="C25" s="11" t="s">
        <v>347</v>
      </c>
      <c r="D25" s="10" t="s">
        <v>6</v>
      </c>
      <c r="E25" s="12">
        <v>170000</v>
      </c>
      <c r="F25" s="6">
        <v>140000</v>
      </c>
    </row>
    <row r="26" spans="1:6" ht="16.8" x14ac:dyDescent="0.3">
      <c r="A26" s="10">
        <v>17</v>
      </c>
      <c r="B26" s="11" t="s">
        <v>865</v>
      </c>
      <c r="C26" s="11" t="s">
        <v>348</v>
      </c>
      <c r="D26" s="10" t="s">
        <v>6</v>
      </c>
      <c r="E26" s="12">
        <v>180000</v>
      </c>
      <c r="F26" s="6">
        <v>150000</v>
      </c>
    </row>
    <row r="27" spans="1:6" ht="16.8" x14ac:dyDescent="0.3">
      <c r="A27" s="10">
        <v>18</v>
      </c>
      <c r="B27" s="11" t="s">
        <v>866</v>
      </c>
      <c r="C27" s="11" t="s">
        <v>349</v>
      </c>
      <c r="D27" s="10" t="s">
        <v>6</v>
      </c>
      <c r="E27" s="12">
        <v>190000</v>
      </c>
      <c r="F27" s="6">
        <v>160000</v>
      </c>
    </row>
    <row r="28" spans="1:6" ht="16.8" x14ac:dyDescent="0.3">
      <c r="A28" s="10">
        <v>19</v>
      </c>
      <c r="B28" s="11" t="s">
        <v>867</v>
      </c>
      <c r="C28" s="11" t="s">
        <v>350</v>
      </c>
      <c r="D28" s="10" t="s">
        <v>6</v>
      </c>
      <c r="E28" s="12">
        <v>200000</v>
      </c>
      <c r="F28" s="6">
        <v>170000</v>
      </c>
    </row>
    <row r="29" spans="1:6" ht="16.8" x14ac:dyDescent="0.3">
      <c r="A29" s="10">
        <v>20</v>
      </c>
      <c r="B29" s="11" t="s">
        <v>893</v>
      </c>
      <c r="C29" s="11" t="s">
        <v>894</v>
      </c>
      <c r="D29" s="10" t="s">
        <v>6</v>
      </c>
      <c r="E29" s="12">
        <v>230000</v>
      </c>
      <c r="F29" s="6">
        <v>190000</v>
      </c>
    </row>
    <row r="30" spans="1:6" ht="16.8" x14ac:dyDescent="0.3">
      <c r="A30" s="10">
        <v>21</v>
      </c>
      <c r="B30" s="11" t="s">
        <v>868</v>
      </c>
      <c r="C30" s="11" t="s">
        <v>351</v>
      </c>
      <c r="D30" s="10" t="s">
        <v>6</v>
      </c>
      <c r="E30" s="12">
        <v>245000</v>
      </c>
      <c r="F30" s="6">
        <v>210000</v>
      </c>
    </row>
    <row r="31" spans="1:6" ht="22.5" customHeight="1" x14ac:dyDescent="0.3">
      <c r="A31" s="93" t="s">
        <v>887</v>
      </c>
      <c r="B31" s="94"/>
      <c r="C31" s="94"/>
      <c r="D31" s="94"/>
      <c r="E31" s="94"/>
      <c r="F31" s="6"/>
    </row>
    <row r="32" spans="1:6" ht="16.8" x14ac:dyDescent="0.3">
      <c r="A32" s="10">
        <v>19</v>
      </c>
      <c r="B32" s="11" t="s">
        <v>869</v>
      </c>
      <c r="C32" s="11" t="s">
        <v>352</v>
      </c>
      <c r="D32" s="10" t="s">
        <v>6</v>
      </c>
      <c r="E32" s="12">
        <v>200000</v>
      </c>
      <c r="F32" s="37">
        <v>160000</v>
      </c>
    </row>
    <row r="33" spans="1:6" ht="16.8" x14ac:dyDescent="0.3">
      <c r="A33" s="10">
        <v>20</v>
      </c>
      <c r="B33" s="11" t="s">
        <v>870</v>
      </c>
      <c r="C33" s="11" t="s">
        <v>353</v>
      </c>
      <c r="D33" s="10" t="s">
        <v>6</v>
      </c>
      <c r="E33" s="12">
        <v>230000</v>
      </c>
      <c r="F33" s="37">
        <v>180000</v>
      </c>
    </row>
    <row r="34" spans="1:6" ht="16.8" x14ac:dyDescent="0.3">
      <c r="A34" s="10">
        <v>21</v>
      </c>
      <c r="B34" s="11" t="s">
        <v>871</v>
      </c>
      <c r="C34" s="11" t="s">
        <v>354</v>
      </c>
      <c r="D34" s="10" t="s">
        <v>6</v>
      </c>
      <c r="E34" s="12">
        <v>270000</v>
      </c>
      <c r="F34" s="37">
        <v>210000</v>
      </c>
    </row>
    <row r="35" spans="1:6" ht="16.8" x14ac:dyDescent="0.3">
      <c r="A35" s="10">
        <v>22</v>
      </c>
      <c r="B35" s="11" t="s">
        <v>872</v>
      </c>
      <c r="C35" s="11" t="s">
        <v>355</v>
      </c>
      <c r="D35" s="10" t="s">
        <v>6</v>
      </c>
      <c r="E35" s="12">
        <v>300000</v>
      </c>
      <c r="F35" s="37">
        <v>240000</v>
      </c>
    </row>
    <row r="36" spans="1:6" ht="16.8" x14ac:dyDescent="0.3">
      <c r="A36" s="10">
        <v>23</v>
      </c>
      <c r="B36" s="11" t="s">
        <v>873</v>
      </c>
      <c r="C36" s="11" t="s">
        <v>356</v>
      </c>
      <c r="D36" s="10" t="s">
        <v>6</v>
      </c>
      <c r="E36" s="12">
        <v>340000</v>
      </c>
      <c r="F36" s="37">
        <v>270000</v>
      </c>
    </row>
    <row r="37" spans="1:6" ht="18.75" customHeight="1" x14ac:dyDescent="0.3">
      <c r="A37" s="93" t="s">
        <v>888</v>
      </c>
      <c r="B37" s="94"/>
      <c r="C37" s="94"/>
      <c r="D37" s="94"/>
      <c r="E37" s="94"/>
    </row>
    <row r="38" spans="1:6" ht="16.8" x14ac:dyDescent="0.3">
      <c r="A38" s="10">
        <v>24</v>
      </c>
      <c r="B38" s="11" t="s">
        <v>874</v>
      </c>
      <c r="C38" s="11" t="s">
        <v>357</v>
      </c>
      <c r="D38" s="10" t="s">
        <v>6</v>
      </c>
      <c r="E38" s="12">
        <v>40000</v>
      </c>
      <c r="F38" s="37">
        <v>32000</v>
      </c>
    </row>
    <row r="39" spans="1:6" ht="16.8" x14ac:dyDescent="0.3">
      <c r="A39" s="10">
        <v>25</v>
      </c>
      <c r="B39" s="11" t="s">
        <v>875</v>
      </c>
      <c r="C39" s="11" t="s">
        <v>358</v>
      </c>
      <c r="D39" s="10" t="s">
        <v>6</v>
      </c>
      <c r="E39" s="12">
        <v>35000</v>
      </c>
      <c r="F39" s="37">
        <v>26000</v>
      </c>
    </row>
    <row r="40" spans="1:6" ht="18.75" customHeight="1" x14ac:dyDescent="0.3">
      <c r="A40" s="10">
        <v>26</v>
      </c>
      <c r="B40" s="11" t="s">
        <v>876</v>
      </c>
      <c r="C40" s="11" t="s">
        <v>359</v>
      </c>
      <c r="D40" s="10" t="s">
        <v>6</v>
      </c>
      <c r="E40" s="12">
        <v>31000</v>
      </c>
      <c r="F40" s="37">
        <v>22000</v>
      </c>
    </row>
    <row r="41" spans="1:6" ht="16.8" x14ac:dyDescent="0.3">
      <c r="A41" s="10">
        <v>27</v>
      </c>
      <c r="B41" s="11" t="s">
        <v>877</v>
      </c>
      <c r="C41" s="11" t="s">
        <v>360</v>
      </c>
      <c r="D41" s="10" t="s">
        <v>6</v>
      </c>
      <c r="E41" s="12">
        <v>40000</v>
      </c>
      <c r="F41" s="37">
        <v>32000</v>
      </c>
    </row>
    <row r="42" spans="1:6" ht="18.75" customHeight="1" x14ac:dyDescent="0.3">
      <c r="A42" s="93" t="s">
        <v>882</v>
      </c>
      <c r="B42" s="94"/>
      <c r="C42" s="94"/>
      <c r="D42" s="94"/>
      <c r="E42" s="94"/>
    </row>
    <row r="43" spans="1:6" ht="16.8" x14ac:dyDescent="0.3">
      <c r="A43" s="10">
        <v>28</v>
      </c>
      <c r="B43" s="11" t="s">
        <v>878</v>
      </c>
      <c r="C43" s="11" t="s">
        <v>883</v>
      </c>
      <c r="D43" s="10" t="s">
        <v>6</v>
      </c>
      <c r="E43" s="12">
        <v>250000</v>
      </c>
      <c r="F43" s="37">
        <v>200000</v>
      </c>
    </row>
    <row r="44" spans="1:6" ht="16.8" x14ac:dyDescent="0.3">
      <c r="A44" s="10">
        <v>29</v>
      </c>
      <c r="B44" s="11" t="s">
        <v>879</v>
      </c>
      <c r="C44" s="11" t="s">
        <v>884</v>
      </c>
      <c r="D44" s="10" t="s">
        <v>6</v>
      </c>
      <c r="E44" s="12">
        <v>270000</v>
      </c>
      <c r="F44" s="37">
        <v>220000</v>
      </c>
    </row>
    <row r="45" spans="1:6" ht="16.8" x14ac:dyDescent="0.3">
      <c r="A45" s="10">
        <v>30</v>
      </c>
      <c r="B45" s="11" t="s">
        <v>880</v>
      </c>
      <c r="C45" s="11" t="s">
        <v>885</v>
      </c>
      <c r="D45" s="10" t="s">
        <v>6</v>
      </c>
      <c r="E45" s="12">
        <v>340000</v>
      </c>
      <c r="F45" s="37">
        <v>270000</v>
      </c>
    </row>
    <row r="46" spans="1:6" ht="16.8" x14ac:dyDescent="0.3">
      <c r="A46" s="10">
        <v>31</v>
      </c>
      <c r="B46" s="11" t="s">
        <v>881</v>
      </c>
      <c r="C46" s="11" t="s">
        <v>886</v>
      </c>
      <c r="D46" s="10" t="s">
        <v>6</v>
      </c>
      <c r="E46" s="12">
        <v>410000</v>
      </c>
      <c r="F46" s="37">
        <v>320000</v>
      </c>
    </row>
    <row r="47" spans="1:6" x14ac:dyDescent="0.3">
      <c r="A47" s="95"/>
      <c r="B47" s="95"/>
      <c r="C47" s="95"/>
      <c r="D47" s="95"/>
      <c r="E47" s="95"/>
    </row>
    <row r="48" spans="1:6" x14ac:dyDescent="0.3">
      <c r="A48" s="95" t="s">
        <v>915</v>
      </c>
      <c r="B48" s="95"/>
      <c r="C48" s="95"/>
      <c r="D48" s="95"/>
      <c r="E48" s="95"/>
    </row>
    <row r="49" spans="1:5" x14ac:dyDescent="0.3">
      <c r="A49" s="95" t="s">
        <v>916</v>
      </c>
      <c r="B49" s="95"/>
      <c r="C49" s="95"/>
      <c r="D49" s="95"/>
      <c r="E49" s="95"/>
    </row>
    <row r="50" spans="1:5" x14ac:dyDescent="0.3">
      <c r="A50" s="95" t="s">
        <v>664</v>
      </c>
      <c r="B50" s="95"/>
      <c r="C50" s="95"/>
      <c r="D50" s="95"/>
      <c r="E50" s="95"/>
    </row>
    <row r="51" spans="1:5" x14ac:dyDescent="0.3">
      <c r="A51" s="96"/>
      <c r="B51" s="96"/>
      <c r="C51" s="96"/>
      <c r="D51" s="96"/>
      <c r="E51" s="96"/>
    </row>
    <row r="52" spans="1:5" x14ac:dyDescent="0.3">
      <c r="A52" s="96"/>
      <c r="B52" s="96"/>
      <c r="C52" s="96"/>
      <c r="D52" s="96"/>
      <c r="E52" s="96"/>
    </row>
    <row r="53" spans="1:5" x14ac:dyDescent="0.3">
      <c r="A53" s="96"/>
      <c r="B53" s="96"/>
      <c r="C53" s="96"/>
      <c r="D53" s="96"/>
      <c r="E53" s="96"/>
    </row>
    <row r="54" spans="1:5" x14ac:dyDescent="0.3">
      <c r="A54" s="96"/>
      <c r="B54" s="96"/>
      <c r="C54" s="96"/>
      <c r="D54" s="96"/>
      <c r="E54" s="96"/>
    </row>
    <row r="55" spans="1:5" x14ac:dyDescent="0.3">
      <c r="A55" s="96"/>
      <c r="B55" s="96"/>
      <c r="C55" s="96"/>
      <c r="D55" s="96"/>
      <c r="E55" s="96"/>
    </row>
    <row r="56" spans="1:5" x14ac:dyDescent="0.3">
      <c r="A56" s="96"/>
      <c r="B56" s="96"/>
      <c r="C56" s="96"/>
      <c r="D56" s="96"/>
      <c r="E56" s="96"/>
    </row>
    <row r="57" spans="1:5" x14ac:dyDescent="0.3">
      <c r="A57" s="96"/>
      <c r="B57" s="96"/>
      <c r="C57" s="96"/>
      <c r="D57" s="96"/>
      <c r="E57" s="96"/>
    </row>
    <row r="58" spans="1:5" x14ac:dyDescent="0.3">
      <c r="A58" s="96"/>
      <c r="B58" s="96"/>
      <c r="C58" s="96"/>
      <c r="D58" s="96"/>
      <c r="E58" s="96"/>
    </row>
    <row r="59" spans="1:5" x14ac:dyDescent="0.3">
      <c r="A59" s="96"/>
      <c r="B59" s="96"/>
      <c r="C59" s="96"/>
      <c r="D59" s="96"/>
      <c r="E59" s="96"/>
    </row>
    <row r="60" spans="1:5" x14ac:dyDescent="0.3">
      <c r="A60" s="96"/>
      <c r="B60" s="96"/>
      <c r="C60" s="96"/>
      <c r="D60" s="96"/>
      <c r="E60" s="96"/>
    </row>
    <row r="61" spans="1:5" x14ac:dyDescent="0.3">
      <c r="A61" s="96"/>
      <c r="B61" s="96"/>
      <c r="C61" s="96"/>
      <c r="D61" s="96"/>
      <c r="E61" s="96"/>
    </row>
    <row r="62" spans="1:5" x14ac:dyDescent="0.3">
      <c r="A62" s="96"/>
      <c r="B62" s="96"/>
      <c r="C62" s="96"/>
      <c r="D62" s="96"/>
      <c r="E62" s="96"/>
    </row>
    <row r="63" spans="1:5" x14ac:dyDescent="0.3">
      <c r="A63" s="96"/>
      <c r="B63" s="96"/>
      <c r="C63" s="96"/>
      <c r="D63" s="96"/>
      <c r="E63" s="96"/>
    </row>
    <row r="64" spans="1:5" x14ac:dyDescent="0.3">
      <c r="A64" s="96"/>
      <c r="B64" s="96"/>
      <c r="C64" s="96"/>
      <c r="D64" s="96"/>
      <c r="E64" s="96"/>
    </row>
    <row r="65" spans="1:5" x14ac:dyDescent="0.3">
      <c r="A65" s="96"/>
      <c r="B65" s="96"/>
      <c r="C65" s="96"/>
      <c r="D65" s="96"/>
      <c r="E65" s="96"/>
    </row>
    <row r="66" spans="1:5" x14ac:dyDescent="0.3">
      <c r="A66" s="96"/>
      <c r="B66" s="96"/>
      <c r="C66" s="96"/>
      <c r="D66" s="96"/>
      <c r="E66" s="96"/>
    </row>
    <row r="67" spans="1:5" x14ac:dyDescent="0.3">
      <c r="A67" s="96"/>
      <c r="B67" s="96"/>
      <c r="C67" s="96"/>
      <c r="D67" s="96"/>
      <c r="E67" s="96"/>
    </row>
    <row r="68" spans="1:5" x14ac:dyDescent="0.3">
      <c r="A68" s="96"/>
      <c r="B68" s="96"/>
      <c r="C68" s="96"/>
      <c r="D68" s="96"/>
      <c r="E68" s="96"/>
    </row>
    <row r="69" spans="1:5" x14ac:dyDescent="0.3">
      <c r="A69" s="96"/>
      <c r="B69" s="96"/>
      <c r="C69" s="96"/>
      <c r="D69" s="96"/>
      <c r="E69" s="96"/>
    </row>
    <row r="70" spans="1:5" x14ac:dyDescent="0.3">
      <c r="A70" s="96"/>
      <c r="B70" s="96"/>
      <c r="C70" s="96"/>
      <c r="D70" s="96"/>
      <c r="E70" s="96"/>
    </row>
    <row r="71" spans="1:5" x14ac:dyDescent="0.3">
      <c r="A71" s="96"/>
      <c r="B71" s="96"/>
      <c r="C71" s="96"/>
      <c r="D71" s="96"/>
      <c r="E71" s="96"/>
    </row>
    <row r="72" spans="1:5" x14ac:dyDescent="0.3">
      <c r="A72" s="96"/>
      <c r="B72" s="96"/>
      <c r="C72" s="96"/>
      <c r="D72" s="96"/>
      <c r="E72" s="96"/>
    </row>
    <row r="73" spans="1:5" x14ac:dyDescent="0.3">
      <c r="A73" s="96"/>
      <c r="B73" s="96"/>
      <c r="C73" s="96"/>
      <c r="D73" s="96"/>
      <c r="E73" s="96"/>
    </row>
    <row r="74" spans="1:5" x14ac:dyDescent="0.3">
      <c r="A74" s="96"/>
      <c r="B74" s="96"/>
      <c r="C74" s="96"/>
      <c r="D74" s="96"/>
      <c r="E74" s="96"/>
    </row>
    <row r="75" spans="1:5" x14ac:dyDescent="0.3">
      <c r="A75" s="96"/>
      <c r="B75" s="96"/>
      <c r="C75" s="96"/>
      <c r="D75" s="96"/>
      <c r="E75" s="96"/>
    </row>
    <row r="76" spans="1:5" x14ac:dyDescent="0.3">
      <c r="A76" s="96"/>
      <c r="B76" s="96"/>
      <c r="C76" s="96"/>
      <c r="D76" s="96"/>
      <c r="E76" s="96"/>
    </row>
    <row r="77" spans="1:5" x14ac:dyDescent="0.3">
      <c r="A77" s="96"/>
      <c r="B77" s="96"/>
      <c r="C77" s="96"/>
      <c r="D77" s="96"/>
      <c r="E77" s="96"/>
    </row>
    <row r="78" spans="1:5" x14ac:dyDescent="0.3">
      <c r="A78" s="96"/>
      <c r="B78" s="96"/>
      <c r="C78" s="96"/>
      <c r="D78" s="96"/>
      <c r="E78" s="96"/>
    </row>
    <row r="79" spans="1:5" x14ac:dyDescent="0.3">
      <c r="A79" s="96"/>
      <c r="B79" s="96"/>
      <c r="C79" s="96"/>
      <c r="D79" s="96"/>
      <c r="E79" s="96"/>
    </row>
    <row r="80" spans="1:5" x14ac:dyDescent="0.3">
      <c r="A80" s="96"/>
      <c r="B80" s="96"/>
      <c r="C80" s="96"/>
      <c r="D80" s="96"/>
      <c r="E80" s="96"/>
    </row>
    <row r="81" spans="1:5" x14ac:dyDescent="0.3">
      <c r="A81" s="96"/>
      <c r="B81" s="96"/>
      <c r="C81" s="96"/>
      <c r="D81" s="96"/>
      <c r="E81" s="96"/>
    </row>
    <row r="82" spans="1:5" x14ac:dyDescent="0.3">
      <c r="A82" s="96"/>
      <c r="B82" s="96"/>
      <c r="C82" s="96"/>
      <c r="D82" s="96"/>
      <c r="E82" s="96"/>
    </row>
    <row r="83" spans="1:5" x14ac:dyDescent="0.3">
      <c r="A83" s="96"/>
      <c r="B83" s="96"/>
      <c r="C83" s="96"/>
      <c r="D83" s="96"/>
      <c r="E83" s="96"/>
    </row>
    <row r="84" spans="1:5" x14ac:dyDescent="0.3">
      <c r="A84" s="96"/>
      <c r="B84" s="96"/>
      <c r="C84" s="96"/>
      <c r="D84" s="96"/>
      <c r="E84" s="96"/>
    </row>
    <row r="85" spans="1:5" x14ac:dyDescent="0.3">
      <c r="A85" s="96"/>
      <c r="B85" s="96"/>
      <c r="C85" s="96"/>
      <c r="D85" s="96"/>
      <c r="E85" s="96"/>
    </row>
    <row r="86" spans="1:5" x14ac:dyDescent="0.3">
      <c r="A86" s="96"/>
      <c r="B86" s="96"/>
      <c r="C86" s="96"/>
      <c r="D86" s="96"/>
      <c r="E86" s="96"/>
    </row>
    <row r="87" spans="1:5" x14ac:dyDescent="0.3">
      <c r="A87" s="96"/>
      <c r="B87" s="96"/>
      <c r="C87" s="96"/>
      <c r="D87" s="96"/>
      <c r="E87" s="96"/>
    </row>
    <row r="88" spans="1:5" x14ac:dyDescent="0.3">
      <c r="A88" s="96"/>
      <c r="B88" s="96"/>
      <c r="C88" s="96"/>
      <c r="D88" s="96"/>
      <c r="E88" s="96"/>
    </row>
    <row r="89" spans="1:5" x14ac:dyDescent="0.3">
      <c r="A89" s="96"/>
      <c r="B89" s="96"/>
      <c r="C89" s="96"/>
      <c r="D89" s="96"/>
      <c r="E89" s="96"/>
    </row>
    <row r="90" spans="1:5" x14ac:dyDescent="0.3">
      <c r="A90" s="96"/>
      <c r="B90" s="96"/>
      <c r="C90" s="96"/>
      <c r="D90" s="96"/>
      <c r="E90" s="96"/>
    </row>
    <row r="91" spans="1:5" x14ac:dyDescent="0.3">
      <c r="A91" s="96"/>
      <c r="B91" s="96"/>
      <c r="C91" s="96"/>
      <c r="D91" s="96"/>
      <c r="E91" s="96"/>
    </row>
    <row r="92" spans="1:5" x14ac:dyDescent="0.3">
      <c r="A92" s="96"/>
      <c r="B92" s="96"/>
      <c r="C92" s="96"/>
      <c r="D92" s="96"/>
      <c r="E92" s="96"/>
    </row>
    <row r="93" spans="1:5" x14ac:dyDescent="0.3">
      <c r="A93" s="96"/>
      <c r="B93" s="96"/>
      <c r="C93" s="96"/>
      <c r="D93" s="96"/>
      <c r="E93" s="96"/>
    </row>
    <row r="94" spans="1:5" x14ac:dyDescent="0.3">
      <c r="A94" s="96"/>
      <c r="B94" s="96"/>
      <c r="C94" s="96"/>
      <c r="D94" s="96"/>
      <c r="E94" s="96"/>
    </row>
    <row r="95" spans="1:5" x14ac:dyDescent="0.3">
      <c r="A95" s="96"/>
      <c r="B95" s="96"/>
      <c r="C95" s="96"/>
      <c r="D95" s="96"/>
      <c r="E95" s="96"/>
    </row>
    <row r="96" spans="1:5" x14ac:dyDescent="0.3">
      <c r="A96" s="96"/>
      <c r="B96" s="96"/>
      <c r="C96" s="96"/>
      <c r="D96" s="96"/>
      <c r="E96" s="96"/>
    </row>
    <row r="97" spans="1:5" x14ac:dyDescent="0.3">
      <c r="A97" s="96"/>
      <c r="B97" s="96"/>
      <c r="C97" s="96"/>
      <c r="D97" s="96"/>
      <c r="E97" s="96"/>
    </row>
    <row r="98" spans="1:5" x14ac:dyDescent="0.3">
      <c r="A98" s="96"/>
      <c r="B98" s="96"/>
      <c r="C98" s="96"/>
      <c r="D98" s="96"/>
      <c r="E98" s="96"/>
    </row>
    <row r="99" spans="1:5" x14ac:dyDescent="0.3">
      <c r="A99" s="96"/>
      <c r="B99" s="96"/>
      <c r="C99" s="96"/>
      <c r="D99" s="96"/>
      <c r="E99" s="96"/>
    </row>
    <row r="100" spans="1:5" x14ac:dyDescent="0.3">
      <c r="A100" s="96"/>
      <c r="B100" s="96"/>
      <c r="C100" s="96"/>
      <c r="D100" s="96"/>
      <c r="E100" s="96"/>
    </row>
    <row r="101" spans="1:5" x14ac:dyDescent="0.3">
      <c r="A101" s="96"/>
      <c r="B101" s="96"/>
      <c r="C101" s="96"/>
      <c r="D101" s="96"/>
      <c r="E101" s="96"/>
    </row>
    <row r="102" spans="1:5" x14ac:dyDescent="0.3">
      <c r="A102" s="96"/>
      <c r="B102" s="96"/>
      <c r="C102" s="96"/>
      <c r="D102" s="96"/>
      <c r="E102" s="96"/>
    </row>
    <row r="103" spans="1:5" x14ac:dyDescent="0.3">
      <c r="A103" s="96"/>
      <c r="B103" s="96"/>
      <c r="C103" s="96"/>
      <c r="D103" s="96"/>
      <c r="E103" s="96"/>
    </row>
    <row r="104" spans="1:5" x14ac:dyDescent="0.3">
      <c r="A104" s="96"/>
      <c r="B104" s="96"/>
      <c r="C104" s="96"/>
      <c r="D104" s="96"/>
      <c r="E104" s="96"/>
    </row>
    <row r="105" spans="1:5" x14ac:dyDescent="0.3">
      <c r="A105" s="96"/>
      <c r="B105" s="96"/>
      <c r="C105" s="96"/>
      <c r="D105" s="96"/>
      <c r="E105" s="96"/>
    </row>
    <row r="106" spans="1:5" x14ac:dyDescent="0.3">
      <c r="A106" s="96"/>
      <c r="B106" s="96"/>
      <c r="C106" s="96"/>
      <c r="D106" s="96"/>
      <c r="E106" s="96"/>
    </row>
    <row r="107" spans="1:5" x14ac:dyDescent="0.3">
      <c r="A107" s="96"/>
      <c r="B107" s="96"/>
      <c r="C107" s="96"/>
      <c r="D107" s="96"/>
      <c r="E107" s="96"/>
    </row>
    <row r="108" spans="1:5" x14ac:dyDescent="0.3">
      <c r="A108" s="96"/>
      <c r="B108" s="96"/>
      <c r="C108" s="96"/>
      <c r="D108" s="96"/>
      <c r="E108" s="96"/>
    </row>
    <row r="109" spans="1:5" x14ac:dyDescent="0.3">
      <c r="A109" s="96"/>
      <c r="B109" s="96"/>
      <c r="C109" s="96"/>
      <c r="D109" s="96"/>
      <c r="E109" s="96"/>
    </row>
    <row r="110" spans="1:5" x14ac:dyDescent="0.3">
      <c r="A110" s="96"/>
      <c r="B110" s="96"/>
      <c r="C110" s="96"/>
      <c r="D110" s="96"/>
      <c r="E110" s="96"/>
    </row>
    <row r="111" spans="1:5" x14ac:dyDescent="0.3">
      <c r="A111" s="96"/>
      <c r="B111" s="96"/>
      <c r="C111" s="96"/>
      <c r="D111" s="96"/>
      <c r="E111" s="96"/>
    </row>
    <row r="112" spans="1:5" x14ac:dyDescent="0.3">
      <c r="A112" s="96"/>
      <c r="B112" s="96"/>
      <c r="C112" s="96"/>
      <c r="D112" s="96"/>
      <c r="E112" s="96"/>
    </row>
    <row r="113" spans="1:5" x14ac:dyDescent="0.3">
      <c r="A113" s="96"/>
      <c r="B113" s="96"/>
      <c r="C113" s="96"/>
      <c r="D113" s="96"/>
      <c r="E113" s="96"/>
    </row>
    <row r="114" spans="1:5" x14ac:dyDescent="0.3">
      <c r="A114" s="96"/>
      <c r="B114" s="96"/>
      <c r="C114" s="96"/>
      <c r="D114" s="96"/>
      <c r="E114" s="96"/>
    </row>
    <row r="115" spans="1:5" x14ac:dyDescent="0.3">
      <c r="A115" s="96"/>
      <c r="B115" s="96"/>
      <c r="C115" s="96"/>
      <c r="D115" s="96"/>
      <c r="E115" s="96"/>
    </row>
    <row r="116" spans="1:5" x14ac:dyDescent="0.3">
      <c r="A116" s="96"/>
      <c r="B116" s="96"/>
      <c r="C116" s="96"/>
      <c r="D116" s="96"/>
      <c r="E116" s="96"/>
    </row>
    <row r="117" spans="1:5" x14ac:dyDescent="0.3">
      <c r="A117" s="96"/>
      <c r="B117" s="96"/>
      <c r="C117" s="96"/>
      <c r="D117" s="96"/>
      <c r="E117" s="96"/>
    </row>
    <row r="118" spans="1:5" x14ac:dyDescent="0.3">
      <c r="A118" s="96"/>
      <c r="B118" s="96"/>
      <c r="C118" s="96"/>
      <c r="D118" s="96"/>
      <c r="E118" s="96"/>
    </row>
    <row r="119" spans="1:5" x14ac:dyDescent="0.3">
      <c r="A119" s="96"/>
      <c r="B119" s="96"/>
      <c r="C119" s="96"/>
      <c r="D119" s="96"/>
      <c r="E119" s="96"/>
    </row>
    <row r="120" spans="1:5" x14ac:dyDescent="0.3">
      <c r="A120" s="96"/>
      <c r="B120" s="96"/>
      <c r="C120" s="96"/>
      <c r="D120" s="96"/>
      <c r="E120" s="96"/>
    </row>
    <row r="121" spans="1:5" x14ac:dyDescent="0.3">
      <c r="A121" s="96"/>
      <c r="B121" s="96"/>
      <c r="C121" s="96"/>
      <c r="D121" s="96"/>
      <c r="E121" s="96"/>
    </row>
    <row r="122" spans="1:5" x14ac:dyDescent="0.3">
      <c r="A122" s="96"/>
      <c r="B122" s="96"/>
      <c r="C122" s="96"/>
      <c r="D122" s="96"/>
      <c r="E122" s="96"/>
    </row>
    <row r="123" spans="1:5" x14ac:dyDescent="0.3">
      <c r="A123" s="96"/>
      <c r="B123" s="96"/>
      <c r="C123" s="96"/>
      <c r="D123" s="96"/>
      <c r="E123" s="96"/>
    </row>
    <row r="124" spans="1:5" x14ac:dyDescent="0.3">
      <c r="A124" s="96"/>
      <c r="B124" s="96"/>
      <c r="C124" s="96"/>
      <c r="D124" s="96"/>
      <c r="E124" s="96"/>
    </row>
    <row r="125" spans="1:5" x14ac:dyDescent="0.3">
      <c r="A125" s="96"/>
      <c r="B125" s="96"/>
      <c r="C125" s="96"/>
      <c r="D125" s="96"/>
      <c r="E125" s="96"/>
    </row>
    <row r="126" spans="1:5" x14ac:dyDescent="0.3">
      <c r="A126" s="96"/>
      <c r="B126" s="96"/>
      <c r="C126" s="96"/>
      <c r="D126" s="96"/>
      <c r="E126" s="96"/>
    </row>
    <row r="127" spans="1:5" x14ac:dyDescent="0.3">
      <c r="A127" s="96"/>
      <c r="B127" s="96"/>
      <c r="C127" s="96"/>
      <c r="D127" s="96"/>
      <c r="E127" s="96"/>
    </row>
    <row r="128" spans="1:5" x14ac:dyDescent="0.3">
      <c r="A128" s="96"/>
      <c r="B128" s="96"/>
      <c r="C128" s="96"/>
      <c r="D128" s="96"/>
      <c r="E128" s="96"/>
    </row>
    <row r="129" spans="1:5" x14ac:dyDescent="0.3">
      <c r="A129" s="96"/>
      <c r="B129" s="96"/>
      <c r="C129" s="96"/>
      <c r="D129" s="96"/>
      <c r="E129" s="96"/>
    </row>
    <row r="130" spans="1:5" x14ac:dyDescent="0.3">
      <c r="A130" s="96"/>
      <c r="B130" s="96"/>
      <c r="C130" s="96"/>
      <c r="D130" s="96"/>
      <c r="E130" s="96"/>
    </row>
    <row r="131" spans="1:5" x14ac:dyDescent="0.3">
      <c r="A131" s="96"/>
      <c r="B131" s="96"/>
      <c r="C131" s="96"/>
      <c r="D131" s="96"/>
      <c r="E131" s="96"/>
    </row>
    <row r="132" spans="1:5" x14ac:dyDescent="0.3">
      <c r="A132" s="96"/>
      <c r="B132" s="96"/>
      <c r="C132" s="96"/>
      <c r="D132" s="96"/>
      <c r="E132" s="96"/>
    </row>
    <row r="133" spans="1:5" x14ac:dyDescent="0.3">
      <c r="A133" s="96"/>
      <c r="B133" s="96"/>
      <c r="C133" s="96"/>
      <c r="D133" s="96"/>
      <c r="E133" s="96"/>
    </row>
    <row r="134" spans="1:5" x14ac:dyDescent="0.3">
      <c r="A134" s="96"/>
      <c r="B134" s="96"/>
      <c r="C134" s="96"/>
      <c r="D134" s="96"/>
      <c r="E134" s="96"/>
    </row>
    <row r="135" spans="1:5" x14ac:dyDescent="0.3">
      <c r="A135" s="96"/>
      <c r="B135" s="96"/>
      <c r="C135" s="96"/>
      <c r="D135" s="96"/>
      <c r="E135" s="96"/>
    </row>
    <row r="136" spans="1:5" x14ac:dyDescent="0.3">
      <c r="A136" s="96"/>
      <c r="B136" s="96"/>
      <c r="C136" s="96"/>
      <c r="D136" s="96"/>
      <c r="E136" s="96"/>
    </row>
    <row r="137" spans="1:5" x14ac:dyDescent="0.3">
      <c r="A137" s="96"/>
      <c r="B137" s="96"/>
      <c r="C137" s="96"/>
      <c r="D137" s="96"/>
      <c r="E137" s="96"/>
    </row>
    <row r="138" spans="1:5" x14ac:dyDescent="0.3">
      <c r="A138" s="96"/>
      <c r="B138" s="96"/>
      <c r="C138" s="96"/>
      <c r="D138" s="96"/>
      <c r="E138" s="96"/>
    </row>
    <row r="139" spans="1:5" x14ac:dyDescent="0.3">
      <c r="A139" s="96"/>
      <c r="B139" s="96"/>
      <c r="C139" s="96"/>
      <c r="D139" s="96"/>
      <c r="E139" s="96"/>
    </row>
    <row r="140" spans="1:5" x14ac:dyDescent="0.3">
      <c r="A140" s="96"/>
      <c r="B140" s="96"/>
      <c r="C140" s="96"/>
      <c r="D140" s="96"/>
      <c r="E140" s="96"/>
    </row>
    <row r="141" spans="1:5" x14ac:dyDescent="0.3">
      <c r="A141" s="96"/>
      <c r="B141" s="96"/>
      <c r="C141" s="96"/>
      <c r="D141" s="96"/>
      <c r="E141" s="96"/>
    </row>
    <row r="142" spans="1:5" x14ac:dyDescent="0.3">
      <c r="A142" s="96"/>
      <c r="B142" s="96"/>
      <c r="C142" s="96"/>
      <c r="D142" s="96"/>
      <c r="E142" s="96"/>
    </row>
    <row r="143" spans="1:5" x14ac:dyDescent="0.3">
      <c r="A143" s="96"/>
      <c r="B143" s="96"/>
      <c r="C143" s="96"/>
      <c r="D143" s="96"/>
      <c r="E143" s="96"/>
    </row>
    <row r="144" spans="1:5" x14ac:dyDescent="0.3">
      <c r="A144" s="96"/>
      <c r="B144" s="96"/>
      <c r="C144" s="96"/>
      <c r="D144" s="96"/>
      <c r="E144" s="96"/>
    </row>
    <row r="145" spans="1:5" x14ac:dyDescent="0.3">
      <c r="A145" s="96"/>
      <c r="B145" s="96"/>
      <c r="C145" s="96"/>
      <c r="D145" s="96"/>
      <c r="E145" s="96"/>
    </row>
    <row r="146" spans="1:5" x14ac:dyDescent="0.3">
      <c r="A146" s="96"/>
      <c r="B146" s="96"/>
      <c r="C146" s="96"/>
      <c r="D146" s="96"/>
      <c r="E146" s="96"/>
    </row>
    <row r="147" spans="1:5" x14ac:dyDescent="0.3">
      <c r="A147" s="96"/>
      <c r="B147" s="96"/>
      <c r="C147" s="96"/>
      <c r="D147" s="96"/>
      <c r="E147" s="96"/>
    </row>
    <row r="148" spans="1:5" x14ac:dyDescent="0.3">
      <c r="A148" s="96"/>
      <c r="B148" s="96"/>
      <c r="C148" s="96"/>
      <c r="D148" s="96"/>
      <c r="E148" s="96"/>
    </row>
    <row r="149" spans="1:5" x14ac:dyDescent="0.3">
      <c r="A149" s="96"/>
      <c r="B149" s="96"/>
      <c r="C149" s="96"/>
      <c r="D149" s="96"/>
      <c r="E149" s="96"/>
    </row>
    <row r="150" spans="1:5" x14ac:dyDescent="0.3">
      <c r="A150" s="96"/>
      <c r="B150" s="96"/>
      <c r="C150" s="96"/>
      <c r="D150" s="96"/>
      <c r="E150" s="96"/>
    </row>
    <row r="151" spans="1:5" x14ac:dyDescent="0.3">
      <c r="A151" s="96"/>
      <c r="B151" s="96"/>
      <c r="C151" s="96"/>
      <c r="D151" s="96"/>
      <c r="E151" s="96"/>
    </row>
    <row r="152" spans="1:5" x14ac:dyDescent="0.3">
      <c r="A152" s="96"/>
      <c r="B152" s="96"/>
      <c r="C152" s="96"/>
      <c r="D152" s="96"/>
      <c r="E152" s="96"/>
    </row>
    <row r="153" spans="1:5" x14ac:dyDescent="0.3">
      <c r="A153" s="96"/>
      <c r="B153" s="96"/>
      <c r="C153" s="96"/>
      <c r="D153" s="96"/>
      <c r="E153" s="96"/>
    </row>
    <row r="154" spans="1:5" x14ac:dyDescent="0.3">
      <c r="A154" s="96"/>
      <c r="B154" s="96"/>
      <c r="C154" s="96"/>
      <c r="D154" s="96"/>
      <c r="E154" s="96"/>
    </row>
    <row r="155" spans="1:5" x14ac:dyDescent="0.3">
      <c r="A155" s="96"/>
      <c r="B155" s="96"/>
      <c r="C155" s="96"/>
      <c r="D155" s="96"/>
      <c r="E155" s="96"/>
    </row>
    <row r="156" spans="1:5" x14ac:dyDescent="0.3">
      <c r="A156" s="96"/>
      <c r="B156" s="96"/>
      <c r="C156" s="96"/>
      <c r="D156" s="96"/>
      <c r="E156" s="96"/>
    </row>
    <row r="157" spans="1:5" x14ac:dyDescent="0.3">
      <c r="A157" s="96"/>
      <c r="B157" s="96"/>
      <c r="C157" s="96"/>
      <c r="D157" s="96"/>
      <c r="E157" s="96"/>
    </row>
    <row r="158" spans="1:5" x14ac:dyDescent="0.3">
      <c r="A158" s="96"/>
      <c r="B158" s="96"/>
      <c r="C158" s="96"/>
      <c r="D158" s="96"/>
      <c r="E158" s="96"/>
    </row>
    <row r="159" spans="1:5" x14ac:dyDescent="0.3">
      <c r="A159" s="96"/>
      <c r="B159" s="96"/>
      <c r="C159" s="96"/>
      <c r="D159" s="96"/>
      <c r="E159" s="96"/>
    </row>
    <row r="160" spans="1:5" x14ac:dyDescent="0.3">
      <c r="A160" s="96"/>
      <c r="B160" s="96"/>
      <c r="C160" s="96"/>
      <c r="D160" s="96"/>
      <c r="E160" s="96"/>
    </row>
    <row r="161" spans="1:5" x14ac:dyDescent="0.3">
      <c r="A161" s="96"/>
      <c r="B161" s="96"/>
      <c r="C161" s="96"/>
      <c r="D161" s="96"/>
      <c r="E161" s="96"/>
    </row>
    <row r="162" spans="1:5" x14ac:dyDescent="0.3">
      <c r="A162" s="96"/>
      <c r="B162" s="96"/>
      <c r="C162" s="96"/>
      <c r="D162" s="96"/>
      <c r="E162" s="96"/>
    </row>
    <row r="163" spans="1:5" x14ac:dyDescent="0.3">
      <c r="A163" s="96"/>
      <c r="B163" s="96"/>
      <c r="C163" s="96"/>
      <c r="D163" s="96"/>
      <c r="E163" s="96"/>
    </row>
    <row r="164" spans="1:5" x14ac:dyDescent="0.3">
      <c r="A164" s="96"/>
      <c r="B164" s="96"/>
      <c r="C164" s="96"/>
      <c r="D164" s="96"/>
      <c r="E164" s="96"/>
    </row>
    <row r="165" spans="1:5" x14ac:dyDescent="0.3">
      <c r="A165" s="96"/>
      <c r="B165" s="96"/>
      <c r="C165" s="96"/>
      <c r="D165" s="96"/>
      <c r="E165" s="96"/>
    </row>
    <row r="166" spans="1:5" x14ac:dyDescent="0.3">
      <c r="A166" s="96"/>
      <c r="B166" s="96"/>
      <c r="C166" s="96"/>
      <c r="D166" s="96"/>
      <c r="E166" s="96"/>
    </row>
    <row r="167" spans="1:5" x14ac:dyDescent="0.3">
      <c r="A167" s="96"/>
      <c r="B167" s="96"/>
      <c r="C167" s="96"/>
      <c r="D167" s="96"/>
      <c r="E167" s="96"/>
    </row>
    <row r="168" spans="1:5" x14ac:dyDescent="0.3">
      <c r="A168" s="96"/>
      <c r="B168" s="96"/>
      <c r="C168" s="96"/>
      <c r="D168" s="96"/>
      <c r="E168" s="96"/>
    </row>
    <row r="169" spans="1:5" x14ac:dyDescent="0.3">
      <c r="A169" s="96"/>
      <c r="B169" s="96"/>
      <c r="C169" s="96"/>
      <c r="D169" s="96"/>
      <c r="E169" s="96"/>
    </row>
    <row r="170" spans="1:5" x14ac:dyDescent="0.3">
      <c r="A170" s="96"/>
      <c r="B170" s="96"/>
      <c r="C170" s="96"/>
      <c r="D170" s="96"/>
      <c r="E170" s="96"/>
    </row>
    <row r="171" spans="1:5" x14ac:dyDescent="0.3">
      <c r="A171" s="96"/>
      <c r="B171" s="96"/>
      <c r="C171" s="96"/>
      <c r="D171" s="96"/>
      <c r="E171" s="96"/>
    </row>
    <row r="172" spans="1:5" x14ac:dyDescent="0.3">
      <c r="A172" s="96"/>
      <c r="B172" s="96"/>
      <c r="C172" s="96"/>
      <c r="D172" s="96"/>
      <c r="E172" s="96"/>
    </row>
    <row r="173" spans="1:5" x14ac:dyDescent="0.3">
      <c r="A173" s="96"/>
      <c r="B173" s="96"/>
      <c r="C173" s="96"/>
      <c r="D173" s="96"/>
      <c r="E173" s="96"/>
    </row>
    <row r="174" spans="1:5" x14ac:dyDescent="0.3">
      <c r="A174" s="96"/>
      <c r="B174" s="96"/>
      <c r="C174" s="96"/>
      <c r="D174" s="96"/>
      <c r="E174" s="96"/>
    </row>
    <row r="175" spans="1:5" x14ac:dyDescent="0.3">
      <c r="A175" s="96"/>
      <c r="B175" s="96"/>
      <c r="C175" s="96"/>
      <c r="D175" s="96"/>
      <c r="E175" s="96"/>
    </row>
    <row r="176" spans="1:5" x14ac:dyDescent="0.3">
      <c r="A176" s="96"/>
      <c r="B176" s="96"/>
      <c r="C176" s="96"/>
      <c r="D176" s="96"/>
      <c r="E176" s="96"/>
    </row>
    <row r="177" spans="1:5" x14ac:dyDescent="0.3">
      <c r="A177" s="96"/>
      <c r="B177" s="96"/>
      <c r="C177" s="96"/>
      <c r="D177" s="96"/>
      <c r="E177" s="96"/>
    </row>
    <row r="178" spans="1:5" x14ac:dyDescent="0.3">
      <c r="A178" s="96"/>
      <c r="B178" s="96"/>
      <c r="C178" s="96"/>
      <c r="D178" s="96"/>
      <c r="E178" s="96"/>
    </row>
    <row r="179" spans="1:5" x14ac:dyDescent="0.3">
      <c r="A179" s="96"/>
      <c r="B179" s="96"/>
      <c r="C179" s="96"/>
      <c r="D179" s="96"/>
      <c r="E179" s="96"/>
    </row>
  </sheetData>
  <mergeCells count="141">
    <mergeCell ref="A178:E178"/>
    <mergeCell ref="A179:E179"/>
    <mergeCell ref="A47:E47"/>
    <mergeCell ref="A172:E172"/>
    <mergeCell ref="A173:E173"/>
    <mergeCell ref="A174:E174"/>
    <mergeCell ref="A175:E175"/>
    <mergeCell ref="A176:E176"/>
    <mergeCell ref="A177:E177"/>
    <mergeCell ref="A166:E166"/>
    <mergeCell ref="A167:E167"/>
    <mergeCell ref="A168:E168"/>
    <mergeCell ref="A169:E169"/>
    <mergeCell ref="A170:E170"/>
    <mergeCell ref="A171:E171"/>
    <mergeCell ref="A160:E160"/>
    <mergeCell ref="A161:E161"/>
    <mergeCell ref="A162:E162"/>
    <mergeCell ref="A163:E163"/>
    <mergeCell ref="A164:E164"/>
    <mergeCell ref="A165:E165"/>
    <mergeCell ref="A154:E154"/>
    <mergeCell ref="A155:E155"/>
    <mergeCell ref="A156:E156"/>
    <mergeCell ref="A157:E157"/>
    <mergeCell ref="A158:E158"/>
    <mergeCell ref="A159:E159"/>
    <mergeCell ref="A148:E148"/>
    <mergeCell ref="A149:E149"/>
    <mergeCell ref="A150:E150"/>
    <mergeCell ref="A151:E151"/>
    <mergeCell ref="A152:E152"/>
    <mergeCell ref="A153:E153"/>
    <mergeCell ref="A142:E142"/>
    <mergeCell ref="A143:E143"/>
    <mergeCell ref="A144:E144"/>
    <mergeCell ref="A145:E145"/>
    <mergeCell ref="A146:E146"/>
    <mergeCell ref="A147:E147"/>
    <mergeCell ref="A136:E136"/>
    <mergeCell ref="A137:E137"/>
    <mergeCell ref="A138:E138"/>
    <mergeCell ref="A139:E139"/>
    <mergeCell ref="A140:E140"/>
    <mergeCell ref="A141:E141"/>
    <mergeCell ref="A130:E130"/>
    <mergeCell ref="A131:E131"/>
    <mergeCell ref="A132:E132"/>
    <mergeCell ref="A133:E133"/>
    <mergeCell ref="A134:E134"/>
    <mergeCell ref="A135:E135"/>
    <mergeCell ref="A124:E124"/>
    <mergeCell ref="A125:E125"/>
    <mergeCell ref="A126:E126"/>
    <mergeCell ref="A127:E127"/>
    <mergeCell ref="A128:E128"/>
    <mergeCell ref="A129:E129"/>
    <mergeCell ref="A118:E118"/>
    <mergeCell ref="A119:E119"/>
    <mergeCell ref="A120:E120"/>
    <mergeCell ref="A121:E121"/>
    <mergeCell ref="A122:E122"/>
    <mergeCell ref="A123:E123"/>
    <mergeCell ref="A112:E112"/>
    <mergeCell ref="A113:E113"/>
    <mergeCell ref="A114:E114"/>
    <mergeCell ref="A115:E115"/>
    <mergeCell ref="A116:E116"/>
    <mergeCell ref="A117:E117"/>
    <mergeCell ref="A106:E106"/>
    <mergeCell ref="A107:E107"/>
    <mergeCell ref="A108:E108"/>
    <mergeCell ref="A109:E109"/>
    <mergeCell ref="A110:E110"/>
    <mergeCell ref="A111:E111"/>
    <mergeCell ref="A100:E100"/>
    <mergeCell ref="A101:E101"/>
    <mergeCell ref="A102:E102"/>
    <mergeCell ref="A103:E103"/>
    <mergeCell ref="A104:E104"/>
    <mergeCell ref="A105:E105"/>
    <mergeCell ref="A94:E94"/>
    <mergeCell ref="A95:E95"/>
    <mergeCell ref="A96:E96"/>
    <mergeCell ref="A97:E97"/>
    <mergeCell ref="A98:E98"/>
    <mergeCell ref="A99:E99"/>
    <mergeCell ref="A88:E88"/>
    <mergeCell ref="A89:E89"/>
    <mergeCell ref="A90:E90"/>
    <mergeCell ref="A91:E91"/>
    <mergeCell ref="A92:E92"/>
    <mergeCell ref="A93:E93"/>
    <mergeCell ref="A82:E82"/>
    <mergeCell ref="A83:E83"/>
    <mergeCell ref="A84:E84"/>
    <mergeCell ref="A85:E85"/>
    <mergeCell ref="A86:E86"/>
    <mergeCell ref="A87:E87"/>
    <mergeCell ref="A76:E76"/>
    <mergeCell ref="A77:E77"/>
    <mergeCell ref="A78:E78"/>
    <mergeCell ref="A79:E79"/>
    <mergeCell ref="A80:E80"/>
    <mergeCell ref="A81:E81"/>
    <mergeCell ref="A70:E70"/>
    <mergeCell ref="A71:E71"/>
    <mergeCell ref="A72:E72"/>
    <mergeCell ref="A73:E73"/>
    <mergeCell ref="A74:E74"/>
    <mergeCell ref="A75:E75"/>
    <mergeCell ref="A64:E64"/>
    <mergeCell ref="A65:E65"/>
    <mergeCell ref="A66:E66"/>
    <mergeCell ref="A67:E67"/>
    <mergeCell ref="A68:E68"/>
    <mergeCell ref="A69:E69"/>
    <mergeCell ref="A58:E58"/>
    <mergeCell ref="A59:E59"/>
    <mergeCell ref="A60:E60"/>
    <mergeCell ref="A61:E61"/>
    <mergeCell ref="A62:E62"/>
    <mergeCell ref="A63:E63"/>
    <mergeCell ref="A52:E52"/>
    <mergeCell ref="A53:E53"/>
    <mergeCell ref="A54:E54"/>
    <mergeCell ref="A55:E55"/>
    <mergeCell ref="A56:E56"/>
    <mergeCell ref="A57:E57"/>
    <mergeCell ref="A37:E37"/>
    <mergeCell ref="A42:E42"/>
    <mergeCell ref="A48:E48"/>
    <mergeCell ref="A49:E49"/>
    <mergeCell ref="A50:E50"/>
    <mergeCell ref="A51:E51"/>
    <mergeCell ref="A1:B5"/>
    <mergeCell ref="C1:E5"/>
    <mergeCell ref="A6:E6"/>
    <mergeCell ref="A7:E7"/>
    <mergeCell ref="A9:E9"/>
    <mergeCell ref="A31:E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opLeftCell="A77" workbookViewId="0">
      <selection activeCell="H90" sqref="H90"/>
    </sheetView>
  </sheetViews>
  <sheetFormatPr defaultColWidth="10.33203125" defaultRowHeight="15.6" x14ac:dyDescent="0.3"/>
  <cols>
    <col min="1" max="1" width="6.33203125" style="1" customWidth="1"/>
    <col min="2" max="2" width="49.6640625" style="1" customWidth="1"/>
    <col min="3" max="3" width="19" style="1" customWidth="1"/>
    <col min="4" max="4" width="14" style="1" customWidth="1"/>
    <col min="5" max="5" width="24" style="7" customWidth="1"/>
    <col min="6" max="6" width="15" style="92" customWidth="1"/>
    <col min="7" max="7" width="10.33203125" style="1"/>
    <col min="8" max="8" width="42.6640625" style="1" customWidth="1"/>
    <col min="9" max="16384" width="10.33203125" style="1"/>
  </cols>
  <sheetData>
    <row r="1" spans="1:6" ht="15.75" customHeight="1" x14ac:dyDescent="0.3">
      <c r="A1" s="113"/>
      <c r="B1" s="114"/>
      <c r="C1" s="119" t="s">
        <v>602</v>
      </c>
      <c r="D1" s="120"/>
      <c r="E1" s="120"/>
      <c r="F1" s="86"/>
    </row>
    <row r="2" spans="1:6" ht="16.8" x14ac:dyDescent="0.3">
      <c r="A2" s="115"/>
      <c r="B2" s="116"/>
      <c r="C2" s="119"/>
      <c r="D2" s="120"/>
      <c r="E2" s="120"/>
      <c r="F2" s="86"/>
    </row>
    <row r="3" spans="1:6" ht="16.8" x14ac:dyDescent="0.3">
      <c r="A3" s="115"/>
      <c r="B3" s="116"/>
      <c r="C3" s="119"/>
      <c r="D3" s="120"/>
      <c r="E3" s="120"/>
      <c r="F3" s="86"/>
    </row>
    <row r="4" spans="1:6" ht="17.25" customHeight="1" x14ac:dyDescent="0.3">
      <c r="A4" s="115"/>
      <c r="B4" s="116"/>
      <c r="C4" s="119"/>
      <c r="D4" s="120"/>
      <c r="E4" s="120"/>
      <c r="F4" s="86"/>
    </row>
    <row r="5" spans="1:6" ht="48" customHeight="1" x14ac:dyDescent="0.3">
      <c r="A5" s="117"/>
      <c r="B5" s="118"/>
      <c r="C5" s="119"/>
      <c r="D5" s="120"/>
      <c r="E5" s="120"/>
      <c r="F5" s="86"/>
    </row>
    <row r="6" spans="1:6" ht="34.5" customHeight="1" x14ac:dyDescent="0.3">
      <c r="A6" s="121" t="s">
        <v>233</v>
      </c>
      <c r="B6" s="122"/>
      <c r="C6" s="122"/>
      <c r="D6" s="122"/>
      <c r="E6" s="122"/>
      <c r="F6" s="86"/>
    </row>
    <row r="7" spans="1:6" ht="28.5" customHeight="1" x14ac:dyDescent="0.3">
      <c r="A7" s="123" t="s">
        <v>668</v>
      </c>
      <c r="B7" s="124"/>
      <c r="C7" s="124"/>
      <c r="D7" s="124"/>
      <c r="E7" s="124"/>
      <c r="F7" s="86"/>
    </row>
    <row r="8" spans="1:6" ht="68.25" customHeight="1" x14ac:dyDescent="0.3">
      <c r="A8" s="77" t="s">
        <v>0</v>
      </c>
      <c r="B8" s="77" t="s">
        <v>1</v>
      </c>
      <c r="C8" s="77" t="s">
        <v>2</v>
      </c>
      <c r="D8" s="77" t="s">
        <v>3</v>
      </c>
      <c r="E8" s="78" t="s">
        <v>4</v>
      </c>
      <c r="F8" s="87" t="s">
        <v>297</v>
      </c>
    </row>
    <row r="9" spans="1:6" ht="26.25" customHeight="1" x14ac:dyDescent="0.3">
      <c r="A9" s="125" t="s">
        <v>742</v>
      </c>
      <c r="B9" s="126"/>
      <c r="C9" s="126"/>
      <c r="D9" s="126"/>
      <c r="E9" s="126"/>
      <c r="F9" s="86"/>
    </row>
    <row r="10" spans="1:6" ht="16.8" x14ac:dyDescent="0.3">
      <c r="A10" s="75">
        <v>1</v>
      </c>
      <c r="B10" s="74" t="s">
        <v>698</v>
      </c>
      <c r="C10" s="74" t="s">
        <v>716</v>
      </c>
      <c r="D10" s="75" t="s">
        <v>6</v>
      </c>
      <c r="E10" s="76">
        <v>180000</v>
      </c>
      <c r="F10" s="88">
        <v>150000</v>
      </c>
    </row>
    <row r="11" spans="1:6" ht="16.8" x14ac:dyDescent="0.3">
      <c r="A11" s="75">
        <v>2</v>
      </c>
      <c r="B11" s="74" t="s">
        <v>699</v>
      </c>
      <c r="C11" s="74" t="s">
        <v>717</v>
      </c>
      <c r="D11" s="75" t="s">
        <v>6</v>
      </c>
      <c r="E11" s="76">
        <v>190000</v>
      </c>
      <c r="F11" s="88">
        <v>160000</v>
      </c>
    </row>
    <row r="12" spans="1:6" ht="16.8" x14ac:dyDescent="0.3">
      <c r="A12" s="75">
        <v>3</v>
      </c>
      <c r="B12" s="74" t="s">
        <v>700</v>
      </c>
      <c r="C12" s="74" t="s">
        <v>718</v>
      </c>
      <c r="D12" s="75" t="s">
        <v>6</v>
      </c>
      <c r="E12" s="76">
        <v>200000</v>
      </c>
      <c r="F12" s="88">
        <v>170000</v>
      </c>
    </row>
    <row r="13" spans="1:6" ht="16.8" x14ac:dyDescent="0.3">
      <c r="A13" s="75">
        <v>4</v>
      </c>
      <c r="B13" s="74" t="s">
        <v>701</v>
      </c>
      <c r="C13" s="74" t="s">
        <v>719</v>
      </c>
      <c r="D13" s="75" t="s">
        <v>6</v>
      </c>
      <c r="E13" s="76">
        <v>220000</v>
      </c>
      <c r="F13" s="88">
        <v>190000</v>
      </c>
    </row>
    <row r="14" spans="1:6" ht="16.8" x14ac:dyDescent="0.3">
      <c r="A14" s="75">
        <v>5</v>
      </c>
      <c r="B14" s="74" t="s">
        <v>702</v>
      </c>
      <c r="C14" s="74" t="s">
        <v>720</v>
      </c>
      <c r="D14" s="75" t="s">
        <v>6</v>
      </c>
      <c r="E14" s="76">
        <v>250000</v>
      </c>
      <c r="F14" s="88">
        <v>220000</v>
      </c>
    </row>
    <row r="15" spans="1:6" ht="16.8" x14ac:dyDescent="0.3">
      <c r="A15" s="75">
        <v>6</v>
      </c>
      <c r="B15" s="74" t="s">
        <v>734</v>
      </c>
      <c r="C15" s="74" t="s">
        <v>735</v>
      </c>
      <c r="D15" s="75" t="s">
        <v>6</v>
      </c>
      <c r="E15" s="76">
        <v>280000</v>
      </c>
      <c r="F15" s="88">
        <v>250000</v>
      </c>
    </row>
    <row r="16" spans="1:6" ht="16.8" x14ac:dyDescent="0.3">
      <c r="A16" s="75">
        <v>7</v>
      </c>
      <c r="B16" s="74" t="s">
        <v>703</v>
      </c>
      <c r="C16" s="74" t="s">
        <v>721</v>
      </c>
      <c r="D16" s="75" t="s">
        <v>6</v>
      </c>
      <c r="E16" s="76">
        <v>310000</v>
      </c>
      <c r="F16" s="88">
        <v>280000</v>
      </c>
    </row>
    <row r="17" spans="1:6" ht="16.8" x14ac:dyDescent="0.3">
      <c r="A17" s="75">
        <v>8</v>
      </c>
      <c r="B17" s="74" t="s">
        <v>704</v>
      </c>
      <c r="C17" s="74" t="s">
        <v>722</v>
      </c>
      <c r="D17" s="75" t="s">
        <v>6</v>
      </c>
      <c r="E17" s="76">
        <v>200000</v>
      </c>
      <c r="F17" s="88">
        <v>170000</v>
      </c>
    </row>
    <row r="18" spans="1:6" ht="16.8" x14ac:dyDescent="0.3">
      <c r="A18" s="75">
        <v>9</v>
      </c>
      <c r="B18" s="74" t="s">
        <v>705</v>
      </c>
      <c r="C18" s="74" t="s">
        <v>723</v>
      </c>
      <c r="D18" s="75" t="s">
        <v>6</v>
      </c>
      <c r="E18" s="76">
        <v>210000</v>
      </c>
      <c r="F18" s="88">
        <v>180000</v>
      </c>
    </row>
    <row r="19" spans="1:6" ht="16.8" x14ac:dyDescent="0.3">
      <c r="A19" s="75">
        <v>10</v>
      </c>
      <c r="B19" s="74" t="s">
        <v>706</v>
      </c>
      <c r="C19" s="74" t="s">
        <v>724</v>
      </c>
      <c r="D19" s="75" t="s">
        <v>6</v>
      </c>
      <c r="E19" s="76">
        <v>220000</v>
      </c>
      <c r="F19" s="88">
        <v>190000</v>
      </c>
    </row>
    <row r="20" spans="1:6" ht="16.8" x14ac:dyDescent="0.3">
      <c r="A20" s="75">
        <v>11</v>
      </c>
      <c r="B20" s="74" t="s">
        <v>707</v>
      </c>
      <c r="C20" s="74" t="s">
        <v>725</v>
      </c>
      <c r="D20" s="75" t="s">
        <v>6</v>
      </c>
      <c r="E20" s="76">
        <v>240000</v>
      </c>
      <c r="F20" s="88">
        <v>210000</v>
      </c>
    </row>
    <row r="21" spans="1:6" ht="16.8" x14ac:dyDescent="0.3">
      <c r="A21" s="75">
        <v>12</v>
      </c>
      <c r="B21" s="74" t="s">
        <v>708</v>
      </c>
      <c r="C21" s="74" t="s">
        <v>726</v>
      </c>
      <c r="D21" s="75" t="s">
        <v>6</v>
      </c>
      <c r="E21" s="76">
        <v>270000</v>
      </c>
      <c r="F21" s="88">
        <v>240000</v>
      </c>
    </row>
    <row r="22" spans="1:6" ht="16.8" x14ac:dyDescent="0.3">
      <c r="A22" s="75">
        <v>13</v>
      </c>
      <c r="B22" s="74" t="s">
        <v>736</v>
      </c>
      <c r="C22" s="74" t="s">
        <v>737</v>
      </c>
      <c r="D22" s="75" t="s">
        <v>6</v>
      </c>
      <c r="E22" s="76">
        <v>300000</v>
      </c>
      <c r="F22" s="88">
        <v>270000</v>
      </c>
    </row>
    <row r="23" spans="1:6" ht="16.8" x14ac:dyDescent="0.3">
      <c r="A23" s="75">
        <v>14</v>
      </c>
      <c r="B23" s="74" t="s">
        <v>709</v>
      </c>
      <c r="C23" s="74" t="s">
        <v>727</v>
      </c>
      <c r="D23" s="75" t="s">
        <v>6</v>
      </c>
      <c r="E23" s="76">
        <v>330000</v>
      </c>
      <c r="F23" s="88">
        <v>300000</v>
      </c>
    </row>
    <row r="24" spans="1:6" ht="16.8" x14ac:dyDescent="0.3">
      <c r="A24" s="75">
        <v>15</v>
      </c>
      <c r="B24" s="74" t="s">
        <v>710</v>
      </c>
      <c r="C24" s="74" t="s">
        <v>728</v>
      </c>
      <c r="D24" s="75" t="s">
        <v>6</v>
      </c>
      <c r="E24" s="76">
        <v>220000</v>
      </c>
      <c r="F24" s="88">
        <v>190000</v>
      </c>
    </row>
    <row r="25" spans="1:6" ht="16.8" x14ac:dyDescent="0.3">
      <c r="A25" s="75">
        <v>16</v>
      </c>
      <c r="B25" s="74" t="s">
        <v>711</v>
      </c>
      <c r="C25" s="74" t="s">
        <v>729</v>
      </c>
      <c r="D25" s="75" t="s">
        <v>6</v>
      </c>
      <c r="E25" s="76">
        <v>230000</v>
      </c>
      <c r="F25" s="88">
        <v>200000</v>
      </c>
    </row>
    <row r="26" spans="1:6" ht="16.8" x14ac:dyDescent="0.3">
      <c r="A26" s="75">
        <v>17</v>
      </c>
      <c r="B26" s="74" t="s">
        <v>712</v>
      </c>
      <c r="C26" s="74" t="s">
        <v>730</v>
      </c>
      <c r="D26" s="75" t="s">
        <v>6</v>
      </c>
      <c r="E26" s="76">
        <v>240000</v>
      </c>
      <c r="F26" s="88">
        <v>210000</v>
      </c>
    </row>
    <row r="27" spans="1:6" ht="16.8" x14ac:dyDescent="0.3">
      <c r="A27" s="75">
        <v>18</v>
      </c>
      <c r="B27" s="74" t="s">
        <v>713</v>
      </c>
      <c r="C27" s="74" t="s">
        <v>731</v>
      </c>
      <c r="D27" s="75" t="s">
        <v>6</v>
      </c>
      <c r="E27" s="76">
        <v>260000</v>
      </c>
      <c r="F27" s="88">
        <v>230000</v>
      </c>
    </row>
    <row r="28" spans="1:6" ht="16.8" x14ac:dyDescent="0.3">
      <c r="A28" s="75">
        <v>19</v>
      </c>
      <c r="B28" s="74" t="s">
        <v>714</v>
      </c>
      <c r="C28" s="74" t="s">
        <v>732</v>
      </c>
      <c r="D28" s="75" t="s">
        <v>6</v>
      </c>
      <c r="E28" s="76">
        <v>290000</v>
      </c>
      <c r="F28" s="88">
        <v>260000</v>
      </c>
    </row>
    <row r="29" spans="1:6" ht="16.8" x14ac:dyDescent="0.3">
      <c r="A29" s="75">
        <v>20</v>
      </c>
      <c r="B29" s="74" t="s">
        <v>739</v>
      </c>
      <c r="C29" s="74" t="s">
        <v>738</v>
      </c>
      <c r="D29" s="75" t="s">
        <v>6</v>
      </c>
      <c r="E29" s="76">
        <v>330000</v>
      </c>
      <c r="F29" s="88">
        <v>290000</v>
      </c>
    </row>
    <row r="30" spans="1:6" ht="16.8" x14ac:dyDescent="0.3">
      <c r="A30" s="75">
        <v>21</v>
      </c>
      <c r="B30" s="74" t="s">
        <v>715</v>
      </c>
      <c r="C30" s="74" t="s">
        <v>733</v>
      </c>
      <c r="D30" s="75" t="s">
        <v>6</v>
      </c>
      <c r="E30" s="76">
        <v>360000</v>
      </c>
      <c r="F30" s="88">
        <v>320000</v>
      </c>
    </row>
    <row r="31" spans="1:6" ht="16.8" x14ac:dyDescent="0.3">
      <c r="A31" s="111" t="s">
        <v>740</v>
      </c>
      <c r="B31" s="112"/>
      <c r="C31" s="112"/>
      <c r="D31" s="112"/>
      <c r="E31" s="112"/>
      <c r="F31" s="88"/>
    </row>
    <row r="32" spans="1:6" ht="16.8" x14ac:dyDescent="0.3">
      <c r="A32" s="75">
        <v>22</v>
      </c>
      <c r="B32" s="74" t="s">
        <v>750</v>
      </c>
      <c r="C32" s="74" t="s">
        <v>743</v>
      </c>
      <c r="D32" s="75" t="s">
        <v>6</v>
      </c>
      <c r="E32" s="76">
        <v>340000</v>
      </c>
      <c r="F32" s="88">
        <v>300000</v>
      </c>
    </row>
    <row r="33" spans="1:6" ht="16.8" x14ac:dyDescent="0.3">
      <c r="A33" s="75">
        <v>23</v>
      </c>
      <c r="B33" s="74" t="s">
        <v>751</v>
      </c>
      <c r="C33" s="74" t="s">
        <v>744</v>
      </c>
      <c r="D33" s="75" t="s">
        <v>6</v>
      </c>
      <c r="E33" s="76">
        <v>360000</v>
      </c>
      <c r="F33" s="88">
        <v>320000</v>
      </c>
    </row>
    <row r="34" spans="1:6" ht="16.8" x14ac:dyDescent="0.3">
      <c r="A34" s="75">
        <v>24</v>
      </c>
      <c r="B34" s="74" t="s">
        <v>752</v>
      </c>
      <c r="C34" s="74" t="s">
        <v>745</v>
      </c>
      <c r="D34" s="75" t="s">
        <v>6</v>
      </c>
      <c r="E34" s="76">
        <v>410000</v>
      </c>
      <c r="F34" s="88">
        <v>360000</v>
      </c>
    </row>
    <row r="35" spans="1:6" ht="16.8" x14ac:dyDescent="0.3">
      <c r="A35" s="75">
        <v>25</v>
      </c>
      <c r="B35" s="74" t="s">
        <v>753</v>
      </c>
      <c r="C35" s="74" t="s">
        <v>746</v>
      </c>
      <c r="D35" s="75" t="s">
        <v>6</v>
      </c>
      <c r="E35" s="76">
        <v>460000</v>
      </c>
      <c r="F35" s="88">
        <v>400000</v>
      </c>
    </row>
    <row r="36" spans="1:6" ht="16.8" x14ac:dyDescent="0.3">
      <c r="A36" s="75">
        <v>26</v>
      </c>
      <c r="B36" s="74" t="s">
        <v>754</v>
      </c>
      <c r="C36" s="74" t="s">
        <v>747</v>
      </c>
      <c r="D36" s="75" t="s">
        <v>6</v>
      </c>
      <c r="E36" s="76">
        <v>490000</v>
      </c>
      <c r="F36" s="88">
        <v>430000</v>
      </c>
    </row>
    <row r="37" spans="1:6" ht="16.8" x14ac:dyDescent="0.3">
      <c r="A37" s="75">
        <v>27</v>
      </c>
      <c r="B37" s="74" t="s">
        <v>755</v>
      </c>
      <c r="C37" s="74" t="s">
        <v>748</v>
      </c>
      <c r="D37" s="75" t="s">
        <v>6</v>
      </c>
      <c r="E37" s="76">
        <v>520000</v>
      </c>
      <c r="F37" s="88">
        <v>460000</v>
      </c>
    </row>
    <row r="38" spans="1:6" ht="16.8" x14ac:dyDescent="0.3">
      <c r="A38" s="75">
        <v>28</v>
      </c>
      <c r="B38" s="74" t="s">
        <v>756</v>
      </c>
      <c r="C38" s="74" t="s">
        <v>749</v>
      </c>
      <c r="D38" s="75" t="s">
        <v>6</v>
      </c>
      <c r="E38" s="76">
        <v>550000</v>
      </c>
      <c r="F38" s="88">
        <v>490000</v>
      </c>
    </row>
    <row r="39" spans="1:6" ht="16.8" x14ac:dyDescent="0.3">
      <c r="A39" s="111" t="s">
        <v>741</v>
      </c>
      <c r="B39" s="112"/>
      <c r="C39" s="112"/>
      <c r="D39" s="112"/>
      <c r="E39" s="112"/>
      <c r="F39" s="88"/>
    </row>
    <row r="40" spans="1:6" ht="16.8" x14ac:dyDescent="0.3">
      <c r="A40" s="75">
        <v>29</v>
      </c>
      <c r="B40" s="74" t="s">
        <v>757</v>
      </c>
      <c r="C40" s="74" t="s">
        <v>761</v>
      </c>
      <c r="D40" s="75" t="s">
        <v>6</v>
      </c>
      <c r="E40" s="76">
        <v>52000</v>
      </c>
      <c r="F40" s="88">
        <v>42000</v>
      </c>
    </row>
    <row r="41" spans="1:6" ht="16.8" x14ac:dyDescent="0.3">
      <c r="A41" s="75">
        <v>30</v>
      </c>
      <c r="B41" s="74" t="s">
        <v>758</v>
      </c>
      <c r="C41" s="74" t="s">
        <v>762</v>
      </c>
      <c r="D41" s="75" t="s">
        <v>6</v>
      </c>
      <c r="E41" s="76">
        <v>47000</v>
      </c>
      <c r="F41" s="88">
        <v>37000</v>
      </c>
    </row>
    <row r="42" spans="1:6" ht="16.8" x14ac:dyDescent="0.3">
      <c r="A42" s="75">
        <v>31</v>
      </c>
      <c r="B42" s="74" t="s">
        <v>759</v>
      </c>
      <c r="C42" s="74" t="s">
        <v>763</v>
      </c>
      <c r="D42" s="75" t="s">
        <v>6</v>
      </c>
      <c r="E42" s="76">
        <v>42000</v>
      </c>
      <c r="F42" s="88">
        <v>32000</v>
      </c>
    </row>
    <row r="43" spans="1:6" ht="16.8" x14ac:dyDescent="0.3">
      <c r="A43" s="75">
        <v>32</v>
      </c>
      <c r="B43" s="74" t="s">
        <v>760</v>
      </c>
      <c r="C43" s="74" t="s">
        <v>764</v>
      </c>
      <c r="D43" s="75" t="s">
        <v>6</v>
      </c>
      <c r="E43" s="76">
        <v>70000</v>
      </c>
      <c r="F43" s="88">
        <v>55000</v>
      </c>
    </row>
    <row r="44" spans="1:6" ht="18.75" customHeight="1" x14ac:dyDescent="0.3">
      <c r="A44" s="111" t="s">
        <v>765</v>
      </c>
      <c r="B44" s="112"/>
      <c r="C44" s="112"/>
      <c r="D44" s="112"/>
      <c r="E44" s="112"/>
      <c r="F44" s="86"/>
    </row>
    <row r="45" spans="1:6" ht="16.8" x14ac:dyDescent="0.3">
      <c r="A45" s="75">
        <v>33</v>
      </c>
      <c r="B45" s="74" t="s">
        <v>766</v>
      </c>
      <c r="C45" s="74" t="s">
        <v>784</v>
      </c>
      <c r="D45" s="75" t="s">
        <v>6</v>
      </c>
      <c r="E45" s="79">
        <v>170000</v>
      </c>
      <c r="F45" s="88">
        <v>140000</v>
      </c>
    </row>
    <row r="46" spans="1:6" ht="16.8" x14ac:dyDescent="0.3">
      <c r="A46" s="75">
        <v>34</v>
      </c>
      <c r="B46" s="74" t="s">
        <v>767</v>
      </c>
      <c r="C46" s="74" t="s">
        <v>785</v>
      </c>
      <c r="D46" s="75" t="s">
        <v>6</v>
      </c>
      <c r="E46" s="79">
        <v>180000</v>
      </c>
      <c r="F46" s="88">
        <v>150000</v>
      </c>
    </row>
    <row r="47" spans="1:6" ht="16.8" x14ac:dyDescent="0.3">
      <c r="A47" s="75">
        <v>35</v>
      </c>
      <c r="B47" s="74" t="s">
        <v>768</v>
      </c>
      <c r="C47" s="74" t="s">
        <v>786</v>
      </c>
      <c r="D47" s="75" t="s">
        <v>6</v>
      </c>
      <c r="E47" s="79">
        <v>190000</v>
      </c>
      <c r="F47" s="88">
        <v>160000</v>
      </c>
    </row>
    <row r="48" spans="1:6" ht="16.8" x14ac:dyDescent="0.3">
      <c r="A48" s="75">
        <v>36</v>
      </c>
      <c r="B48" s="74" t="s">
        <v>769</v>
      </c>
      <c r="C48" s="74" t="s">
        <v>787</v>
      </c>
      <c r="D48" s="75" t="s">
        <v>6</v>
      </c>
      <c r="E48" s="79">
        <v>210000</v>
      </c>
      <c r="F48" s="88">
        <v>180000</v>
      </c>
    </row>
    <row r="49" spans="1:6" ht="16.8" x14ac:dyDescent="0.3">
      <c r="A49" s="75">
        <v>37</v>
      </c>
      <c r="B49" s="74" t="s">
        <v>770</v>
      </c>
      <c r="C49" s="74" t="s">
        <v>788</v>
      </c>
      <c r="D49" s="75" t="s">
        <v>6</v>
      </c>
      <c r="E49" s="79">
        <v>240000</v>
      </c>
      <c r="F49" s="88">
        <v>210000</v>
      </c>
    </row>
    <row r="50" spans="1:6" ht="16.8" x14ac:dyDescent="0.3">
      <c r="A50" s="75">
        <v>38</v>
      </c>
      <c r="B50" s="74" t="s">
        <v>802</v>
      </c>
      <c r="C50" s="74" t="s">
        <v>803</v>
      </c>
      <c r="D50" s="75" t="s">
        <v>6</v>
      </c>
      <c r="E50" s="79">
        <v>270000</v>
      </c>
      <c r="F50" s="88">
        <v>240000</v>
      </c>
    </row>
    <row r="51" spans="1:6" ht="16.8" x14ac:dyDescent="0.3">
      <c r="A51" s="75">
        <v>39</v>
      </c>
      <c r="B51" s="74" t="s">
        <v>771</v>
      </c>
      <c r="C51" s="74" t="s">
        <v>789</v>
      </c>
      <c r="D51" s="75" t="s">
        <v>6</v>
      </c>
      <c r="E51" s="79">
        <v>300000</v>
      </c>
      <c r="F51" s="88">
        <v>270000</v>
      </c>
    </row>
    <row r="52" spans="1:6" ht="16.8" x14ac:dyDescent="0.3">
      <c r="A52" s="75">
        <v>40</v>
      </c>
      <c r="B52" s="74" t="s">
        <v>772</v>
      </c>
      <c r="C52" s="74" t="s">
        <v>790</v>
      </c>
      <c r="D52" s="75" t="s">
        <v>6</v>
      </c>
      <c r="E52" s="79">
        <v>190000</v>
      </c>
      <c r="F52" s="88">
        <v>160000</v>
      </c>
    </row>
    <row r="53" spans="1:6" ht="16.8" x14ac:dyDescent="0.3">
      <c r="A53" s="75">
        <v>41</v>
      </c>
      <c r="B53" s="74" t="s">
        <v>773</v>
      </c>
      <c r="C53" s="74" t="s">
        <v>791</v>
      </c>
      <c r="D53" s="75" t="s">
        <v>6</v>
      </c>
      <c r="E53" s="79">
        <v>200000</v>
      </c>
      <c r="F53" s="88">
        <v>170000</v>
      </c>
    </row>
    <row r="54" spans="1:6" ht="16.8" x14ac:dyDescent="0.3">
      <c r="A54" s="75">
        <v>42</v>
      </c>
      <c r="B54" s="74" t="s">
        <v>774</v>
      </c>
      <c r="C54" s="74" t="s">
        <v>792</v>
      </c>
      <c r="D54" s="75" t="s">
        <v>6</v>
      </c>
      <c r="E54" s="79">
        <v>210000</v>
      </c>
      <c r="F54" s="88">
        <v>180000</v>
      </c>
    </row>
    <row r="55" spans="1:6" ht="16.8" x14ac:dyDescent="0.3">
      <c r="A55" s="75">
        <v>43</v>
      </c>
      <c r="B55" s="74" t="s">
        <v>775</v>
      </c>
      <c r="C55" s="74" t="s">
        <v>793</v>
      </c>
      <c r="D55" s="75" t="s">
        <v>6</v>
      </c>
      <c r="E55" s="79">
        <v>230000</v>
      </c>
      <c r="F55" s="88">
        <v>200000</v>
      </c>
    </row>
    <row r="56" spans="1:6" ht="16.8" x14ac:dyDescent="0.3">
      <c r="A56" s="75">
        <v>44</v>
      </c>
      <c r="B56" s="74" t="s">
        <v>776</v>
      </c>
      <c r="C56" s="74" t="s">
        <v>794</v>
      </c>
      <c r="D56" s="75" t="s">
        <v>6</v>
      </c>
      <c r="E56" s="79">
        <v>260000</v>
      </c>
      <c r="F56" s="88">
        <v>230000</v>
      </c>
    </row>
    <row r="57" spans="1:6" ht="16.8" x14ac:dyDescent="0.3">
      <c r="A57" s="75">
        <v>45</v>
      </c>
      <c r="B57" s="74" t="s">
        <v>804</v>
      </c>
      <c r="C57" s="74" t="s">
        <v>805</v>
      </c>
      <c r="D57" s="75" t="s">
        <v>6</v>
      </c>
      <c r="E57" s="79">
        <v>290000</v>
      </c>
      <c r="F57" s="88">
        <v>260000</v>
      </c>
    </row>
    <row r="58" spans="1:6" ht="16.8" x14ac:dyDescent="0.3">
      <c r="A58" s="75">
        <v>46</v>
      </c>
      <c r="B58" s="74" t="s">
        <v>777</v>
      </c>
      <c r="C58" s="74" t="s">
        <v>795</v>
      </c>
      <c r="D58" s="75" t="s">
        <v>6</v>
      </c>
      <c r="E58" s="79">
        <v>320000</v>
      </c>
      <c r="F58" s="88">
        <v>290000</v>
      </c>
    </row>
    <row r="59" spans="1:6" ht="16.8" x14ac:dyDescent="0.3">
      <c r="A59" s="75">
        <v>47</v>
      </c>
      <c r="B59" s="74" t="s">
        <v>778</v>
      </c>
      <c r="C59" s="74" t="s">
        <v>796</v>
      </c>
      <c r="D59" s="75" t="s">
        <v>6</v>
      </c>
      <c r="E59" s="79">
        <v>210000</v>
      </c>
      <c r="F59" s="88">
        <v>180000</v>
      </c>
    </row>
    <row r="60" spans="1:6" ht="16.8" x14ac:dyDescent="0.3">
      <c r="A60" s="75">
        <v>48</v>
      </c>
      <c r="B60" s="74" t="s">
        <v>779</v>
      </c>
      <c r="C60" s="74" t="s">
        <v>797</v>
      </c>
      <c r="D60" s="75" t="s">
        <v>6</v>
      </c>
      <c r="E60" s="79">
        <v>220000</v>
      </c>
      <c r="F60" s="88">
        <v>190000</v>
      </c>
    </row>
    <row r="61" spans="1:6" ht="16.8" x14ac:dyDescent="0.3">
      <c r="A61" s="75">
        <v>49</v>
      </c>
      <c r="B61" s="74" t="s">
        <v>780</v>
      </c>
      <c r="C61" s="74" t="s">
        <v>798</v>
      </c>
      <c r="D61" s="75" t="s">
        <v>6</v>
      </c>
      <c r="E61" s="79">
        <v>230000</v>
      </c>
      <c r="F61" s="88">
        <v>200000</v>
      </c>
    </row>
    <row r="62" spans="1:6" ht="16.8" x14ac:dyDescent="0.3">
      <c r="A62" s="75">
        <v>50</v>
      </c>
      <c r="B62" s="74" t="s">
        <v>781</v>
      </c>
      <c r="C62" s="74" t="s">
        <v>799</v>
      </c>
      <c r="D62" s="75" t="s">
        <v>6</v>
      </c>
      <c r="E62" s="79">
        <v>250000</v>
      </c>
      <c r="F62" s="88">
        <v>220000</v>
      </c>
    </row>
    <row r="63" spans="1:6" ht="16.8" x14ac:dyDescent="0.3">
      <c r="A63" s="75">
        <v>51</v>
      </c>
      <c r="B63" s="74" t="s">
        <v>782</v>
      </c>
      <c r="C63" s="74" t="s">
        <v>800</v>
      </c>
      <c r="D63" s="75" t="s">
        <v>6</v>
      </c>
      <c r="E63" s="79">
        <v>280000</v>
      </c>
      <c r="F63" s="88">
        <v>250000</v>
      </c>
    </row>
    <row r="64" spans="1:6" ht="16.8" x14ac:dyDescent="0.3">
      <c r="A64" s="75">
        <v>52</v>
      </c>
      <c r="B64" s="74" t="s">
        <v>807</v>
      </c>
      <c r="C64" s="74" t="s">
        <v>806</v>
      </c>
      <c r="D64" s="75" t="s">
        <v>6</v>
      </c>
      <c r="E64" s="79">
        <v>310000</v>
      </c>
      <c r="F64" s="88">
        <v>280000</v>
      </c>
    </row>
    <row r="65" spans="1:6" ht="16.8" x14ac:dyDescent="0.3">
      <c r="A65" s="75">
        <v>53</v>
      </c>
      <c r="B65" s="74" t="s">
        <v>783</v>
      </c>
      <c r="C65" s="74" t="s">
        <v>801</v>
      </c>
      <c r="D65" s="75" t="s">
        <v>6</v>
      </c>
      <c r="E65" s="79">
        <v>340000</v>
      </c>
      <c r="F65" s="88">
        <v>310000</v>
      </c>
    </row>
    <row r="66" spans="1:6" ht="18.75" customHeight="1" x14ac:dyDescent="0.3">
      <c r="A66" s="111" t="s">
        <v>808</v>
      </c>
      <c r="B66" s="112"/>
      <c r="C66" s="112"/>
      <c r="D66" s="112"/>
      <c r="E66" s="112"/>
      <c r="F66" s="88"/>
    </row>
    <row r="67" spans="1:6" ht="16.8" x14ac:dyDescent="0.3">
      <c r="A67" s="75">
        <v>54</v>
      </c>
      <c r="B67" s="74" t="s">
        <v>809</v>
      </c>
      <c r="C67" s="74" t="s">
        <v>816</v>
      </c>
      <c r="D67" s="75" t="s">
        <v>6</v>
      </c>
      <c r="E67" s="76">
        <v>330000</v>
      </c>
      <c r="F67" s="88">
        <v>290000</v>
      </c>
    </row>
    <row r="68" spans="1:6" ht="16.8" x14ac:dyDescent="0.3">
      <c r="A68" s="75">
        <v>55</v>
      </c>
      <c r="B68" s="74" t="s">
        <v>810</v>
      </c>
      <c r="C68" s="74" t="s">
        <v>817</v>
      </c>
      <c r="D68" s="75" t="s">
        <v>6</v>
      </c>
      <c r="E68" s="76">
        <v>350000</v>
      </c>
      <c r="F68" s="88">
        <v>310000</v>
      </c>
    </row>
    <row r="69" spans="1:6" ht="16.8" x14ac:dyDescent="0.3">
      <c r="A69" s="75">
        <v>56</v>
      </c>
      <c r="B69" s="74" t="s">
        <v>811</v>
      </c>
      <c r="C69" s="74" t="s">
        <v>818</v>
      </c>
      <c r="D69" s="75" t="s">
        <v>6</v>
      </c>
      <c r="E69" s="76">
        <v>390000</v>
      </c>
      <c r="F69" s="88">
        <v>350000</v>
      </c>
    </row>
    <row r="70" spans="1:6" ht="16.8" x14ac:dyDescent="0.3">
      <c r="A70" s="75">
        <v>57</v>
      </c>
      <c r="B70" s="74" t="s">
        <v>812</v>
      </c>
      <c r="C70" s="74" t="s">
        <v>819</v>
      </c>
      <c r="D70" s="75" t="s">
        <v>6</v>
      </c>
      <c r="E70" s="76">
        <v>430000</v>
      </c>
      <c r="F70" s="88">
        <v>390000</v>
      </c>
    </row>
    <row r="71" spans="1:6" ht="16.8" x14ac:dyDescent="0.3">
      <c r="A71" s="75">
        <v>58</v>
      </c>
      <c r="B71" s="74" t="s">
        <v>813</v>
      </c>
      <c r="C71" s="74" t="s">
        <v>820</v>
      </c>
      <c r="D71" s="75" t="s">
        <v>6</v>
      </c>
      <c r="E71" s="76">
        <v>460000</v>
      </c>
      <c r="F71" s="88">
        <v>420000</v>
      </c>
    </row>
    <row r="72" spans="1:6" ht="16.8" x14ac:dyDescent="0.3">
      <c r="A72" s="75">
        <v>59</v>
      </c>
      <c r="B72" s="74" t="s">
        <v>814</v>
      </c>
      <c r="C72" s="74" t="s">
        <v>821</v>
      </c>
      <c r="D72" s="75" t="s">
        <v>6</v>
      </c>
      <c r="E72" s="76">
        <v>500000</v>
      </c>
      <c r="F72" s="88">
        <v>450000</v>
      </c>
    </row>
    <row r="73" spans="1:6" ht="16.8" x14ac:dyDescent="0.3">
      <c r="A73" s="75">
        <v>60</v>
      </c>
      <c r="B73" s="74" t="s">
        <v>815</v>
      </c>
      <c r="C73" s="74" t="s">
        <v>822</v>
      </c>
      <c r="D73" s="75" t="s">
        <v>6</v>
      </c>
      <c r="E73" s="76">
        <v>540000</v>
      </c>
      <c r="F73" s="88">
        <v>480000</v>
      </c>
    </row>
    <row r="74" spans="1:6" ht="18.75" customHeight="1" x14ac:dyDescent="0.3">
      <c r="A74" s="111" t="s">
        <v>823</v>
      </c>
      <c r="B74" s="112"/>
      <c r="C74" s="112"/>
      <c r="D74" s="112"/>
      <c r="E74" s="112"/>
      <c r="F74" s="88"/>
    </row>
    <row r="75" spans="1:6" ht="16.8" x14ac:dyDescent="0.3">
      <c r="A75" s="75">
        <v>61</v>
      </c>
      <c r="B75" s="74" t="s">
        <v>824</v>
      </c>
      <c r="C75" s="74" t="s">
        <v>828</v>
      </c>
      <c r="D75" s="75" t="s">
        <v>6</v>
      </c>
      <c r="E75" s="76">
        <v>48000</v>
      </c>
      <c r="F75" s="88">
        <v>38000</v>
      </c>
    </row>
    <row r="76" spans="1:6" ht="16.8" x14ac:dyDescent="0.3">
      <c r="A76" s="75">
        <v>62</v>
      </c>
      <c r="B76" s="74" t="s">
        <v>825</v>
      </c>
      <c r="C76" s="74" t="s">
        <v>829</v>
      </c>
      <c r="D76" s="75" t="s">
        <v>6</v>
      </c>
      <c r="E76" s="76">
        <v>44000</v>
      </c>
      <c r="F76" s="88">
        <v>34000</v>
      </c>
    </row>
    <row r="77" spans="1:6" ht="16.8" x14ac:dyDescent="0.3">
      <c r="A77" s="75">
        <v>63</v>
      </c>
      <c r="B77" s="74" t="s">
        <v>826</v>
      </c>
      <c r="C77" s="74" t="s">
        <v>830</v>
      </c>
      <c r="D77" s="75" t="s">
        <v>6</v>
      </c>
      <c r="E77" s="76">
        <v>40000</v>
      </c>
      <c r="F77" s="88">
        <v>30000</v>
      </c>
    </row>
    <row r="78" spans="1:6" ht="16.8" x14ac:dyDescent="0.3">
      <c r="A78" s="75">
        <v>64</v>
      </c>
      <c r="B78" s="74" t="s">
        <v>827</v>
      </c>
      <c r="C78" s="74" t="s">
        <v>831</v>
      </c>
      <c r="D78" s="75" t="s">
        <v>6</v>
      </c>
      <c r="E78" s="76">
        <v>60000</v>
      </c>
      <c r="F78" s="88">
        <v>45000</v>
      </c>
    </row>
    <row r="79" spans="1:6" ht="18.75" customHeight="1" x14ac:dyDescent="0.3">
      <c r="A79" s="111" t="s">
        <v>833</v>
      </c>
      <c r="B79" s="112"/>
      <c r="C79" s="112"/>
      <c r="D79" s="112"/>
      <c r="E79" s="112"/>
      <c r="F79" s="88"/>
    </row>
    <row r="80" spans="1:6" ht="16.8" x14ac:dyDescent="0.3">
      <c r="A80" s="75">
        <v>65</v>
      </c>
      <c r="B80" s="74" t="s">
        <v>834</v>
      </c>
      <c r="C80" s="74" t="s">
        <v>846</v>
      </c>
      <c r="D80" s="75" t="s">
        <v>6</v>
      </c>
      <c r="E80" s="76">
        <v>370000</v>
      </c>
      <c r="F80" s="88">
        <v>330000</v>
      </c>
    </row>
    <row r="81" spans="1:6" ht="16.8" x14ac:dyDescent="0.3">
      <c r="A81" s="75">
        <v>66</v>
      </c>
      <c r="B81" s="74" t="s">
        <v>832</v>
      </c>
      <c r="C81" s="74" t="s">
        <v>847</v>
      </c>
      <c r="D81" s="75" t="s">
        <v>6</v>
      </c>
      <c r="E81" s="76">
        <v>390000</v>
      </c>
      <c r="F81" s="88">
        <v>350000</v>
      </c>
    </row>
    <row r="82" spans="1:6" ht="16.8" x14ac:dyDescent="0.3">
      <c r="A82" s="75">
        <v>67</v>
      </c>
      <c r="B82" s="74" t="s">
        <v>835</v>
      </c>
      <c r="C82" s="74" t="s">
        <v>848</v>
      </c>
      <c r="D82" s="75" t="s">
        <v>6</v>
      </c>
      <c r="E82" s="76">
        <v>440000</v>
      </c>
      <c r="F82" s="88">
        <v>390000</v>
      </c>
    </row>
    <row r="83" spans="1:6" ht="16.8" x14ac:dyDescent="0.3">
      <c r="A83" s="75">
        <v>68</v>
      </c>
      <c r="B83" s="74" t="s">
        <v>836</v>
      </c>
      <c r="C83" s="74" t="s">
        <v>849</v>
      </c>
      <c r="D83" s="75" t="s">
        <v>6</v>
      </c>
      <c r="E83" s="76">
        <v>490000</v>
      </c>
      <c r="F83" s="88">
        <v>430000</v>
      </c>
    </row>
    <row r="84" spans="1:6" ht="16.8" x14ac:dyDescent="0.3">
      <c r="A84" s="111" t="s">
        <v>837</v>
      </c>
      <c r="B84" s="112"/>
      <c r="C84" s="112"/>
      <c r="D84" s="112"/>
      <c r="E84" s="112"/>
      <c r="F84" s="88"/>
    </row>
    <row r="85" spans="1:6" ht="16.8" x14ac:dyDescent="0.3">
      <c r="A85" s="75">
        <v>69</v>
      </c>
      <c r="B85" s="74" t="s">
        <v>838</v>
      </c>
      <c r="C85" s="74" t="s">
        <v>842</v>
      </c>
      <c r="D85" s="75" t="s">
        <v>6</v>
      </c>
      <c r="E85" s="76">
        <v>350000</v>
      </c>
      <c r="F85" s="88">
        <v>310000</v>
      </c>
    </row>
    <row r="86" spans="1:6" ht="16.8" x14ac:dyDescent="0.3">
      <c r="A86" s="75">
        <v>70</v>
      </c>
      <c r="B86" s="74" t="s">
        <v>839</v>
      </c>
      <c r="C86" s="74" t="s">
        <v>843</v>
      </c>
      <c r="D86" s="75" t="s">
        <v>6</v>
      </c>
      <c r="E86" s="76">
        <v>370000</v>
      </c>
      <c r="F86" s="88">
        <v>330000</v>
      </c>
    </row>
    <row r="87" spans="1:6" ht="16.8" x14ac:dyDescent="0.3">
      <c r="A87" s="75">
        <v>71</v>
      </c>
      <c r="B87" s="74" t="s">
        <v>840</v>
      </c>
      <c r="C87" s="74" t="s">
        <v>844</v>
      </c>
      <c r="D87" s="75" t="s">
        <v>6</v>
      </c>
      <c r="E87" s="76">
        <v>410000</v>
      </c>
      <c r="F87" s="88">
        <v>370000</v>
      </c>
    </row>
    <row r="88" spans="1:6" ht="16.8" x14ac:dyDescent="0.3">
      <c r="A88" s="75">
        <v>72</v>
      </c>
      <c r="B88" s="74" t="s">
        <v>841</v>
      </c>
      <c r="C88" s="74" t="s">
        <v>845</v>
      </c>
      <c r="D88" s="75" t="s">
        <v>6</v>
      </c>
      <c r="E88" s="76">
        <v>450000</v>
      </c>
      <c r="F88" s="88">
        <v>400000</v>
      </c>
    </row>
    <row r="89" spans="1:6" x14ac:dyDescent="0.3">
      <c r="A89" s="95" t="s">
        <v>915</v>
      </c>
      <c r="B89" s="95"/>
      <c r="C89" s="95"/>
      <c r="D89" s="95"/>
      <c r="E89" s="95"/>
      <c r="F89" s="1"/>
    </row>
    <row r="90" spans="1:6" x14ac:dyDescent="0.3">
      <c r="A90" s="95" t="s">
        <v>917</v>
      </c>
      <c r="B90" s="95"/>
      <c r="C90" s="95"/>
      <c r="D90" s="95"/>
      <c r="E90" s="95"/>
      <c r="F90" s="1"/>
    </row>
    <row r="91" spans="1:6" x14ac:dyDescent="0.3">
      <c r="A91" s="95" t="s">
        <v>664</v>
      </c>
      <c r="B91" s="95"/>
      <c r="C91" s="95"/>
      <c r="D91" s="95"/>
      <c r="E91" s="95"/>
      <c r="F91" s="1"/>
    </row>
    <row r="92" spans="1:6" x14ac:dyDescent="0.3">
      <c r="A92" s="96"/>
      <c r="B92" s="96"/>
      <c r="C92" s="96"/>
      <c r="D92" s="96"/>
      <c r="E92" s="96"/>
    </row>
    <row r="93" spans="1:6" x14ac:dyDescent="0.3">
      <c r="A93" s="96"/>
      <c r="B93" s="96"/>
      <c r="C93" s="96"/>
      <c r="D93" s="96"/>
      <c r="E93" s="96"/>
    </row>
    <row r="94" spans="1:6" x14ac:dyDescent="0.3">
      <c r="A94" s="96"/>
      <c r="B94" s="96"/>
      <c r="C94" s="96"/>
      <c r="D94" s="96"/>
      <c r="E94" s="96"/>
    </row>
    <row r="95" spans="1:6" x14ac:dyDescent="0.3">
      <c r="A95" s="96"/>
      <c r="B95" s="96"/>
      <c r="C95" s="96"/>
      <c r="D95" s="96"/>
      <c r="E95" s="96"/>
    </row>
    <row r="96" spans="1:6" x14ac:dyDescent="0.3">
      <c r="A96" s="96"/>
      <c r="B96" s="96"/>
      <c r="C96" s="96"/>
      <c r="D96" s="96"/>
      <c r="E96" s="96"/>
    </row>
    <row r="97" spans="1:5" x14ac:dyDescent="0.3">
      <c r="A97" s="96"/>
      <c r="B97" s="96"/>
      <c r="C97" s="96"/>
      <c r="D97" s="96"/>
      <c r="E97" s="96"/>
    </row>
    <row r="98" spans="1:5" x14ac:dyDescent="0.3">
      <c r="A98" s="96"/>
      <c r="B98" s="96"/>
      <c r="C98" s="96"/>
      <c r="D98" s="96"/>
      <c r="E98" s="96"/>
    </row>
  </sheetData>
  <mergeCells count="22">
    <mergeCell ref="A1:B5"/>
    <mergeCell ref="C1:E5"/>
    <mergeCell ref="A6:E6"/>
    <mergeCell ref="A7:E7"/>
    <mergeCell ref="A9:E9"/>
    <mergeCell ref="A84:E84"/>
    <mergeCell ref="A74:E74"/>
    <mergeCell ref="A79:E79"/>
    <mergeCell ref="A31:E31"/>
    <mergeCell ref="A39:E39"/>
    <mergeCell ref="A44:E44"/>
    <mergeCell ref="A66:E66"/>
    <mergeCell ref="A89:E89"/>
    <mergeCell ref="A98:E98"/>
    <mergeCell ref="A92:E92"/>
    <mergeCell ref="A93:E93"/>
    <mergeCell ref="A94:E94"/>
    <mergeCell ref="A95:E95"/>
    <mergeCell ref="A96:E96"/>
    <mergeCell ref="A97:E97"/>
    <mergeCell ref="A90:E90"/>
    <mergeCell ref="A91:E91"/>
  </mergeCells>
  <phoneticPr fontId="2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A291-F9CA-3C4A-ADF2-279747B8BCDC}">
  <dimension ref="A1:F98"/>
  <sheetViews>
    <sheetView topLeftCell="A77" workbookViewId="0">
      <selection activeCell="A95" sqref="A95:E95"/>
    </sheetView>
  </sheetViews>
  <sheetFormatPr defaultColWidth="10.33203125" defaultRowHeight="15.6" x14ac:dyDescent="0.3"/>
  <cols>
    <col min="1" max="1" width="6.33203125" style="1" customWidth="1"/>
    <col min="2" max="2" width="49.6640625" style="1" customWidth="1"/>
    <col min="3" max="3" width="19" style="1" customWidth="1"/>
    <col min="4" max="4" width="14" style="1" customWidth="1"/>
    <col min="5" max="5" width="24" style="7" customWidth="1"/>
    <col min="6" max="6" width="15" style="92" customWidth="1"/>
    <col min="7" max="7" width="10.33203125" style="1"/>
    <col min="8" max="8" width="42.6640625" style="1" customWidth="1"/>
    <col min="9" max="16384" width="10.33203125" style="1"/>
  </cols>
  <sheetData>
    <row r="1" spans="1:6" ht="15.75" customHeight="1" x14ac:dyDescent="0.3">
      <c r="A1" s="113"/>
      <c r="B1" s="114"/>
      <c r="C1" s="119" t="s">
        <v>602</v>
      </c>
      <c r="D1" s="120"/>
      <c r="E1" s="120"/>
      <c r="F1" s="86"/>
    </row>
    <row r="2" spans="1:6" ht="16.8" x14ac:dyDescent="0.3">
      <c r="A2" s="115"/>
      <c r="B2" s="116"/>
      <c r="C2" s="119"/>
      <c r="D2" s="120"/>
      <c r="E2" s="120"/>
      <c r="F2" s="86"/>
    </row>
    <row r="3" spans="1:6" ht="16.8" x14ac:dyDescent="0.3">
      <c r="A3" s="115"/>
      <c r="B3" s="116"/>
      <c r="C3" s="119"/>
      <c r="D3" s="120"/>
      <c r="E3" s="120"/>
      <c r="F3" s="86"/>
    </row>
    <row r="4" spans="1:6" ht="17.25" customHeight="1" x14ac:dyDescent="0.3">
      <c r="A4" s="115"/>
      <c r="B4" s="116"/>
      <c r="C4" s="119"/>
      <c r="D4" s="120"/>
      <c r="E4" s="120"/>
      <c r="F4" s="86"/>
    </row>
    <row r="5" spans="1:6" ht="48" customHeight="1" x14ac:dyDescent="0.3">
      <c r="A5" s="117"/>
      <c r="B5" s="118"/>
      <c r="C5" s="119"/>
      <c r="D5" s="120"/>
      <c r="E5" s="120"/>
      <c r="F5" s="86"/>
    </row>
    <row r="6" spans="1:6" ht="34.5" customHeight="1" x14ac:dyDescent="0.3">
      <c r="A6" s="121" t="s">
        <v>233</v>
      </c>
      <c r="B6" s="122"/>
      <c r="C6" s="122"/>
      <c r="D6" s="122"/>
      <c r="E6" s="122"/>
      <c r="F6" s="86"/>
    </row>
    <row r="7" spans="1:6" ht="28.5" customHeight="1" x14ac:dyDescent="0.3">
      <c r="A7" s="123" t="s">
        <v>668</v>
      </c>
      <c r="B7" s="124"/>
      <c r="C7" s="124"/>
      <c r="D7" s="124"/>
      <c r="E7" s="124"/>
      <c r="F7" s="86"/>
    </row>
    <row r="8" spans="1:6" ht="68.25" customHeight="1" x14ac:dyDescent="0.3">
      <c r="A8" s="77" t="s">
        <v>0</v>
      </c>
      <c r="B8" s="77" t="s">
        <v>1</v>
      </c>
      <c r="C8" s="77" t="s">
        <v>2</v>
      </c>
      <c r="D8" s="77" t="s">
        <v>3</v>
      </c>
      <c r="E8" s="78" t="s">
        <v>4</v>
      </c>
      <c r="F8" s="87" t="s">
        <v>297</v>
      </c>
    </row>
    <row r="9" spans="1:6" ht="26.25" customHeight="1" x14ac:dyDescent="0.3">
      <c r="A9" s="125" t="s">
        <v>895</v>
      </c>
      <c r="B9" s="126"/>
      <c r="C9" s="126"/>
      <c r="D9" s="126"/>
      <c r="E9" s="126"/>
      <c r="F9" s="86"/>
    </row>
    <row r="10" spans="1:6" ht="16.8" x14ac:dyDescent="0.3">
      <c r="A10" s="75">
        <v>1</v>
      </c>
      <c r="B10" s="74" t="s">
        <v>234</v>
      </c>
      <c r="C10" s="74" t="s">
        <v>5</v>
      </c>
      <c r="D10" s="75" t="s">
        <v>6</v>
      </c>
      <c r="E10" s="76">
        <v>205000</v>
      </c>
      <c r="F10" s="88">
        <v>170000</v>
      </c>
    </row>
    <row r="11" spans="1:6" ht="16.8" x14ac:dyDescent="0.3">
      <c r="A11" s="75">
        <v>2</v>
      </c>
      <c r="B11" s="74" t="s">
        <v>235</v>
      </c>
      <c r="C11" s="74" t="s">
        <v>7</v>
      </c>
      <c r="D11" s="75" t="s">
        <v>6</v>
      </c>
      <c r="E11" s="76">
        <v>215000</v>
      </c>
      <c r="F11" s="88">
        <v>180000</v>
      </c>
    </row>
    <row r="12" spans="1:6" ht="16.8" x14ac:dyDescent="0.3">
      <c r="A12" s="75">
        <v>3</v>
      </c>
      <c r="B12" s="74" t="s">
        <v>236</v>
      </c>
      <c r="C12" s="74" t="s">
        <v>8</v>
      </c>
      <c r="D12" s="75" t="s">
        <v>6</v>
      </c>
      <c r="E12" s="76">
        <v>225000</v>
      </c>
      <c r="F12" s="88">
        <v>190000</v>
      </c>
    </row>
    <row r="13" spans="1:6" ht="16.8" x14ac:dyDescent="0.3">
      <c r="A13" s="75">
        <v>4</v>
      </c>
      <c r="B13" s="74" t="s">
        <v>237</v>
      </c>
      <c r="C13" s="74" t="s">
        <v>9</v>
      </c>
      <c r="D13" s="75" t="s">
        <v>6</v>
      </c>
      <c r="E13" s="76">
        <v>245000</v>
      </c>
      <c r="F13" s="88">
        <v>210000</v>
      </c>
    </row>
    <row r="14" spans="1:6" ht="16.8" x14ac:dyDescent="0.3">
      <c r="A14" s="75">
        <v>5</v>
      </c>
      <c r="B14" s="74" t="s">
        <v>238</v>
      </c>
      <c r="C14" s="74" t="s">
        <v>10</v>
      </c>
      <c r="D14" s="75" t="s">
        <v>6</v>
      </c>
      <c r="E14" s="76">
        <v>275000</v>
      </c>
      <c r="F14" s="88">
        <v>240000</v>
      </c>
    </row>
    <row r="15" spans="1:6" ht="16.8" x14ac:dyDescent="0.3">
      <c r="A15" s="75">
        <v>6</v>
      </c>
      <c r="B15" s="74" t="s">
        <v>903</v>
      </c>
      <c r="C15" s="74" t="s">
        <v>906</v>
      </c>
      <c r="D15" s="75" t="s">
        <v>6</v>
      </c>
      <c r="E15" s="76">
        <v>305000</v>
      </c>
      <c r="F15" s="88">
        <v>270000</v>
      </c>
    </row>
    <row r="16" spans="1:6" ht="16.8" x14ac:dyDescent="0.3">
      <c r="A16" s="75">
        <v>7</v>
      </c>
      <c r="B16" s="74" t="s">
        <v>239</v>
      </c>
      <c r="C16" s="74" t="s">
        <v>11</v>
      </c>
      <c r="D16" s="75" t="s">
        <v>6</v>
      </c>
      <c r="E16" s="76">
        <v>335000</v>
      </c>
      <c r="F16" s="88">
        <v>300000</v>
      </c>
    </row>
    <row r="17" spans="1:6" ht="16.8" x14ac:dyDescent="0.3">
      <c r="A17" s="75">
        <v>8</v>
      </c>
      <c r="B17" s="74" t="s">
        <v>240</v>
      </c>
      <c r="C17" s="74" t="s">
        <v>12</v>
      </c>
      <c r="D17" s="75" t="s">
        <v>6</v>
      </c>
      <c r="E17" s="76">
        <v>225000</v>
      </c>
      <c r="F17" s="88">
        <v>190000</v>
      </c>
    </row>
    <row r="18" spans="1:6" ht="16.8" x14ac:dyDescent="0.3">
      <c r="A18" s="75">
        <v>9</v>
      </c>
      <c r="B18" s="74" t="s">
        <v>241</v>
      </c>
      <c r="C18" s="74" t="s">
        <v>13</v>
      </c>
      <c r="D18" s="75" t="s">
        <v>6</v>
      </c>
      <c r="E18" s="76">
        <v>235000</v>
      </c>
      <c r="F18" s="88">
        <v>200000</v>
      </c>
    </row>
    <row r="19" spans="1:6" ht="16.8" x14ac:dyDescent="0.3">
      <c r="A19" s="75">
        <v>10</v>
      </c>
      <c r="B19" s="74" t="s">
        <v>242</v>
      </c>
      <c r="C19" s="74" t="s">
        <v>14</v>
      </c>
      <c r="D19" s="75" t="s">
        <v>6</v>
      </c>
      <c r="E19" s="76">
        <v>245000</v>
      </c>
      <c r="F19" s="88">
        <v>210000</v>
      </c>
    </row>
    <row r="20" spans="1:6" ht="16.8" x14ac:dyDescent="0.3">
      <c r="A20" s="75">
        <v>11</v>
      </c>
      <c r="B20" s="74" t="s">
        <v>243</v>
      </c>
      <c r="C20" s="74" t="s">
        <v>15</v>
      </c>
      <c r="D20" s="75" t="s">
        <v>6</v>
      </c>
      <c r="E20" s="76">
        <v>265000</v>
      </c>
      <c r="F20" s="88">
        <v>230000</v>
      </c>
    </row>
    <row r="21" spans="1:6" ht="16.8" x14ac:dyDescent="0.3">
      <c r="A21" s="75">
        <v>12</v>
      </c>
      <c r="B21" s="74" t="s">
        <v>244</v>
      </c>
      <c r="C21" s="74" t="s">
        <v>16</v>
      </c>
      <c r="D21" s="75" t="s">
        <v>6</v>
      </c>
      <c r="E21" s="76">
        <v>295000</v>
      </c>
      <c r="F21" s="88">
        <v>260000</v>
      </c>
    </row>
    <row r="22" spans="1:6" ht="16.8" x14ac:dyDescent="0.3">
      <c r="A22" s="75">
        <v>13</v>
      </c>
      <c r="B22" s="74" t="s">
        <v>904</v>
      </c>
      <c r="C22" s="74" t="s">
        <v>907</v>
      </c>
      <c r="D22" s="75" t="s">
        <v>6</v>
      </c>
      <c r="E22" s="76">
        <v>325000</v>
      </c>
      <c r="F22" s="88">
        <v>290000</v>
      </c>
    </row>
    <row r="23" spans="1:6" ht="16.8" x14ac:dyDescent="0.3">
      <c r="A23" s="75">
        <v>14</v>
      </c>
      <c r="B23" s="74" t="s">
        <v>245</v>
      </c>
      <c r="C23" s="74" t="s">
        <v>17</v>
      </c>
      <c r="D23" s="75" t="s">
        <v>6</v>
      </c>
      <c r="E23" s="76">
        <v>355000</v>
      </c>
      <c r="F23" s="88">
        <v>320000</v>
      </c>
    </row>
    <row r="24" spans="1:6" ht="16.8" x14ac:dyDescent="0.3">
      <c r="A24" s="75">
        <v>15</v>
      </c>
      <c r="B24" s="74" t="s">
        <v>246</v>
      </c>
      <c r="C24" s="74" t="s">
        <v>18</v>
      </c>
      <c r="D24" s="75" t="s">
        <v>6</v>
      </c>
      <c r="E24" s="76">
        <v>245000</v>
      </c>
      <c r="F24" s="88">
        <v>210000</v>
      </c>
    </row>
    <row r="25" spans="1:6" ht="16.8" x14ac:dyDescent="0.3">
      <c r="A25" s="75">
        <v>16</v>
      </c>
      <c r="B25" s="74" t="s">
        <v>247</v>
      </c>
      <c r="C25" s="74" t="s">
        <v>19</v>
      </c>
      <c r="D25" s="75" t="s">
        <v>6</v>
      </c>
      <c r="E25" s="76">
        <v>255000</v>
      </c>
      <c r="F25" s="88">
        <v>220000</v>
      </c>
    </row>
    <row r="26" spans="1:6" ht="16.8" x14ac:dyDescent="0.3">
      <c r="A26" s="75">
        <v>17</v>
      </c>
      <c r="B26" s="74" t="s">
        <v>248</v>
      </c>
      <c r="C26" s="74" t="s">
        <v>20</v>
      </c>
      <c r="D26" s="75" t="s">
        <v>6</v>
      </c>
      <c r="E26" s="76">
        <v>265000</v>
      </c>
      <c r="F26" s="88">
        <v>230000</v>
      </c>
    </row>
    <row r="27" spans="1:6" ht="16.8" x14ac:dyDescent="0.3">
      <c r="A27" s="75">
        <v>18</v>
      </c>
      <c r="B27" s="74" t="s">
        <v>249</v>
      </c>
      <c r="C27" s="74" t="s">
        <v>21</v>
      </c>
      <c r="D27" s="75" t="s">
        <v>6</v>
      </c>
      <c r="E27" s="76">
        <v>285000</v>
      </c>
      <c r="F27" s="88">
        <v>250000</v>
      </c>
    </row>
    <row r="28" spans="1:6" ht="16.8" x14ac:dyDescent="0.3">
      <c r="A28" s="75">
        <v>19</v>
      </c>
      <c r="B28" s="74" t="s">
        <v>250</v>
      </c>
      <c r="C28" s="74" t="s">
        <v>22</v>
      </c>
      <c r="D28" s="75" t="s">
        <v>6</v>
      </c>
      <c r="E28" s="76">
        <v>315000</v>
      </c>
      <c r="F28" s="88">
        <v>280000</v>
      </c>
    </row>
    <row r="29" spans="1:6" ht="16.8" x14ac:dyDescent="0.3">
      <c r="A29" s="75">
        <v>20</v>
      </c>
      <c r="B29" s="74" t="s">
        <v>905</v>
      </c>
      <c r="C29" s="74" t="s">
        <v>908</v>
      </c>
      <c r="D29" s="75" t="s">
        <v>6</v>
      </c>
      <c r="E29" s="76">
        <v>345000</v>
      </c>
      <c r="F29" s="88">
        <v>310000</v>
      </c>
    </row>
    <row r="30" spans="1:6" ht="16.8" x14ac:dyDescent="0.3">
      <c r="A30" s="75">
        <v>21</v>
      </c>
      <c r="B30" s="74" t="s">
        <v>251</v>
      </c>
      <c r="C30" s="74" t="s">
        <v>23</v>
      </c>
      <c r="D30" s="75" t="s">
        <v>6</v>
      </c>
      <c r="E30" s="76">
        <v>375000</v>
      </c>
      <c r="F30" s="88">
        <v>340000</v>
      </c>
    </row>
    <row r="31" spans="1:6" ht="16.8" x14ac:dyDescent="0.3">
      <c r="A31" s="111" t="s">
        <v>897</v>
      </c>
      <c r="B31" s="112"/>
      <c r="C31" s="112"/>
      <c r="D31" s="112"/>
      <c r="E31" s="112"/>
      <c r="F31" s="88"/>
    </row>
    <row r="32" spans="1:6" ht="16.8" x14ac:dyDescent="0.3">
      <c r="A32" s="75">
        <v>22</v>
      </c>
      <c r="B32" s="74" t="s">
        <v>252</v>
      </c>
      <c r="C32" s="74" t="s">
        <v>24</v>
      </c>
      <c r="D32" s="75" t="s">
        <v>6</v>
      </c>
      <c r="E32" s="76">
        <v>370000</v>
      </c>
      <c r="F32" s="88">
        <v>320000</v>
      </c>
    </row>
    <row r="33" spans="1:6" ht="16.8" x14ac:dyDescent="0.3">
      <c r="A33" s="75">
        <v>23</v>
      </c>
      <c r="B33" s="74" t="s">
        <v>253</v>
      </c>
      <c r="C33" s="74" t="s">
        <v>25</v>
      </c>
      <c r="D33" s="75" t="s">
        <v>6</v>
      </c>
      <c r="E33" s="76">
        <v>390000</v>
      </c>
      <c r="F33" s="88">
        <v>340000</v>
      </c>
    </row>
    <row r="34" spans="1:6" ht="16.8" x14ac:dyDescent="0.3">
      <c r="A34" s="75">
        <v>24</v>
      </c>
      <c r="B34" s="74" t="s">
        <v>254</v>
      </c>
      <c r="C34" s="74" t="s">
        <v>26</v>
      </c>
      <c r="D34" s="75" t="s">
        <v>6</v>
      </c>
      <c r="E34" s="76">
        <v>440000</v>
      </c>
      <c r="F34" s="88">
        <v>390000</v>
      </c>
    </row>
    <row r="35" spans="1:6" ht="16.8" x14ac:dyDescent="0.3">
      <c r="A35" s="75">
        <v>25</v>
      </c>
      <c r="B35" s="74" t="s">
        <v>683</v>
      </c>
      <c r="C35" s="74" t="s">
        <v>27</v>
      </c>
      <c r="D35" s="75" t="s">
        <v>6</v>
      </c>
      <c r="E35" s="76">
        <v>490000</v>
      </c>
      <c r="F35" s="88">
        <v>440000</v>
      </c>
    </row>
    <row r="36" spans="1:6" ht="16.8" x14ac:dyDescent="0.3">
      <c r="A36" s="75">
        <v>26</v>
      </c>
      <c r="B36" s="74" t="s">
        <v>684</v>
      </c>
      <c r="C36" s="74" t="s">
        <v>28</v>
      </c>
      <c r="D36" s="75" t="s">
        <v>6</v>
      </c>
      <c r="E36" s="76">
        <v>520000</v>
      </c>
      <c r="F36" s="88">
        <v>470000</v>
      </c>
    </row>
    <row r="37" spans="1:6" ht="16.8" x14ac:dyDescent="0.3">
      <c r="A37" s="75">
        <v>27</v>
      </c>
      <c r="B37" s="74" t="s">
        <v>688</v>
      </c>
      <c r="C37" s="74" t="s">
        <v>686</v>
      </c>
      <c r="D37" s="75" t="s">
        <v>6</v>
      </c>
      <c r="E37" s="76">
        <v>550000</v>
      </c>
      <c r="F37" s="88">
        <v>500000</v>
      </c>
    </row>
    <row r="38" spans="1:6" ht="16.8" x14ac:dyDescent="0.3">
      <c r="A38" s="75">
        <v>28</v>
      </c>
      <c r="B38" s="74" t="s">
        <v>685</v>
      </c>
      <c r="C38" s="74" t="s">
        <v>687</v>
      </c>
      <c r="D38" s="75" t="s">
        <v>6</v>
      </c>
      <c r="E38" s="76">
        <v>580000</v>
      </c>
      <c r="F38" s="88">
        <v>530000</v>
      </c>
    </row>
    <row r="39" spans="1:6" ht="16.8" x14ac:dyDescent="0.3">
      <c r="A39" s="111" t="s">
        <v>896</v>
      </c>
      <c r="B39" s="112"/>
      <c r="C39" s="112"/>
      <c r="D39" s="112"/>
      <c r="E39" s="112"/>
      <c r="F39" s="88"/>
    </row>
    <row r="40" spans="1:6" ht="16.8" x14ac:dyDescent="0.3">
      <c r="A40" s="75">
        <v>29</v>
      </c>
      <c r="B40" s="74" t="s">
        <v>255</v>
      </c>
      <c r="C40" s="74" t="s">
        <v>29</v>
      </c>
      <c r="D40" s="75" t="s">
        <v>6</v>
      </c>
      <c r="E40" s="76">
        <f>54000</f>
        <v>54000</v>
      </c>
      <c r="F40" s="88">
        <v>44000</v>
      </c>
    </row>
    <row r="41" spans="1:6" ht="16.8" x14ac:dyDescent="0.3">
      <c r="A41" s="75">
        <v>30</v>
      </c>
      <c r="B41" s="74" t="s">
        <v>256</v>
      </c>
      <c r="C41" s="74" t="s">
        <v>30</v>
      </c>
      <c r="D41" s="75" t="s">
        <v>6</v>
      </c>
      <c r="E41" s="76">
        <v>50000</v>
      </c>
      <c r="F41" s="88">
        <v>40000</v>
      </c>
    </row>
    <row r="42" spans="1:6" ht="16.8" x14ac:dyDescent="0.3">
      <c r="A42" s="75">
        <v>31</v>
      </c>
      <c r="B42" s="74" t="s">
        <v>257</v>
      </c>
      <c r="C42" s="74" t="s">
        <v>31</v>
      </c>
      <c r="D42" s="75" t="s">
        <v>6</v>
      </c>
      <c r="E42" s="76">
        <v>46000</v>
      </c>
      <c r="F42" s="88">
        <v>36000</v>
      </c>
    </row>
    <row r="43" spans="1:6" ht="16.8" x14ac:dyDescent="0.3">
      <c r="A43" s="75">
        <v>32</v>
      </c>
      <c r="B43" s="74" t="s">
        <v>258</v>
      </c>
      <c r="C43" s="74" t="s">
        <v>32</v>
      </c>
      <c r="D43" s="75" t="s">
        <v>6</v>
      </c>
      <c r="E43" s="76">
        <v>75000</v>
      </c>
      <c r="F43" s="88">
        <v>55000</v>
      </c>
    </row>
    <row r="44" spans="1:6" ht="18.75" customHeight="1" x14ac:dyDescent="0.3">
      <c r="A44" s="111" t="s">
        <v>899</v>
      </c>
      <c r="B44" s="112"/>
      <c r="C44" s="112"/>
      <c r="D44" s="112"/>
      <c r="E44" s="112"/>
      <c r="F44" s="86"/>
    </row>
    <row r="45" spans="1:6" ht="16.8" x14ac:dyDescent="0.3">
      <c r="A45" s="75">
        <v>33</v>
      </c>
      <c r="B45" s="74" t="s">
        <v>259</v>
      </c>
      <c r="C45" s="74" t="s">
        <v>33</v>
      </c>
      <c r="D45" s="75" t="s">
        <v>6</v>
      </c>
      <c r="E45" s="79">
        <v>195000</v>
      </c>
      <c r="F45" s="88">
        <v>155000</v>
      </c>
    </row>
    <row r="46" spans="1:6" ht="16.8" x14ac:dyDescent="0.3">
      <c r="A46" s="75">
        <v>34</v>
      </c>
      <c r="B46" s="74" t="s">
        <v>260</v>
      </c>
      <c r="C46" s="74" t="s">
        <v>34</v>
      </c>
      <c r="D46" s="75" t="s">
        <v>6</v>
      </c>
      <c r="E46" s="79">
        <v>205000</v>
      </c>
      <c r="F46" s="88">
        <v>165000</v>
      </c>
    </row>
    <row r="47" spans="1:6" ht="16.8" x14ac:dyDescent="0.3">
      <c r="A47" s="75">
        <v>35</v>
      </c>
      <c r="B47" s="74" t="s">
        <v>261</v>
      </c>
      <c r="C47" s="74" t="s">
        <v>35</v>
      </c>
      <c r="D47" s="75" t="s">
        <v>6</v>
      </c>
      <c r="E47" s="79">
        <v>215000</v>
      </c>
      <c r="F47" s="88">
        <v>175000</v>
      </c>
    </row>
    <row r="48" spans="1:6" ht="16.8" x14ac:dyDescent="0.3">
      <c r="A48" s="75">
        <v>36</v>
      </c>
      <c r="B48" s="74" t="s">
        <v>262</v>
      </c>
      <c r="C48" s="74" t="s">
        <v>36</v>
      </c>
      <c r="D48" s="75" t="s">
        <v>6</v>
      </c>
      <c r="E48" s="79">
        <v>235000</v>
      </c>
      <c r="F48" s="88">
        <v>195000</v>
      </c>
    </row>
    <row r="49" spans="1:6" ht="16.8" x14ac:dyDescent="0.3">
      <c r="A49" s="75">
        <v>37</v>
      </c>
      <c r="B49" s="74" t="s">
        <v>263</v>
      </c>
      <c r="C49" s="74" t="s">
        <v>37</v>
      </c>
      <c r="D49" s="75" t="s">
        <v>6</v>
      </c>
      <c r="E49" s="79">
        <v>265000</v>
      </c>
      <c r="F49" s="88">
        <v>225000</v>
      </c>
    </row>
    <row r="50" spans="1:6" ht="16.8" x14ac:dyDescent="0.3">
      <c r="A50" s="75">
        <v>38</v>
      </c>
      <c r="B50" s="74" t="s">
        <v>909</v>
      </c>
      <c r="C50" s="74" t="s">
        <v>910</v>
      </c>
      <c r="D50" s="75" t="s">
        <v>6</v>
      </c>
      <c r="E50" s="79">
        <v>295000</v>
      </c>
      <c r="F50" s="88">
        <v>255000</v>
      </c>
    </row>
    <row r="51" spans="1:6" ht="16.8" x14ac:dyDescent="0.3">
      <c r="A51" s="75">
        <v>39</v>
      </c>
      <c r="B51" s="74" t="s">
        <v>264</v>
      </c>
      <c r="C51" s="74" t="s">
        <v>38</v>
      </c>
      <c r="D51" s="75" t="s">
        <v>6</v>
      </c>
      <c r="E51" s="79">
        <v>325000</v>
      </c>
      <c r="F51" s="88">
        <v>285000</v>
      </c>
    </row>
    <row r="52" spans="1:6" ht="16.8" x14ac:dyDescent="0.3">
      <c r="A52" s="75">
        <v>40</v>
      </c>
      <c r="B52" s="74" t="s">
        <v>265</v>
      </c>
      <c r="C52" s="74" t="s">
        <v>39</v>
      </c>
      <c r="D52" s="75" t="s">
        <v>6</v>
      </c>
      <c r="E52" s="79">
        <v>215000</v>
      </c>
      <c r="F52" s="88">
        <v>175000</v>
      </c>
    </row>
    <row r="53" spans="1:6" ht="16.8" x14ac:dyDescent="0.3">
      <c r="A53" s="75">
        <v>41</v>
      </c>
      <c r="B53" s="74" t="s">
        <v>266</v>
      </c>
      <c r="C53" s="74" t="s">
        <v>40</v>
      </c>
      <c r="D53" s="75" t="s">
        <v>6</v>
      </c>
      <c r="E53" s="79">
        <v>225000</v>
      </c>
      <c r="F53" s="88">
        <v>185000</v>
      </c>
    </row>
    <row r="54" spans="1:6" ht="16.8" x14ac:dyDescent="0.3">
      <c r="A54" s="75">
        <v>42</v>
      </c>
      <c r="B54" s="74" t="s">
        <v>267</v>
      </c>
      <c r="C54" s="74" t="s">
        <v>41</v>
      </c>
      <c r="D54" s="75" t="s">
        <v>6</v>
      </c>
      <c r="E54" s="79">
        <v>235000</v>
      </c>
      <c r="F54" s="88">
        <v>195000</v>
      </c>
    </row>
    <row r="55" spans="1:6" ht="16.8" x14ac:dyDescent="0.3">
      <c r="A55" s="75">
        <v>43</v>
      </c>
      <c r="B55" s="74" t="s">
        <v>268</v>
      </c>
      <c r="C55" s="74" t="s">
        <v>42</v>
      </c>
      <c r="D55" s="75" t="s">
        <v>6</v>
      </c>
      <c r="E55" s="79">
        <v>255000</v>
      </c>
      <c r="F55" s="88">
        <v>215000</v>
      </c>
    </row>
    <row r="56" spans="1:6" ht="16.8" x14ac:dyDescent="0.3">
      <c r="A56" s="75">
        <v>44</v>
      </c>
      <c r="B56" s="74" t="s">
        <v>269</v>
      </c>
      <c r="C56" s="74" t="s">
        <v>43</v>
      </c>
      <c r="D56" s="75" t="s">
        <v>6</v>
      </c>
      <c r="E56" s="79">
        <v>285000</v>
      </c>
      <c r="F56" s="88">
        <v>245000</v>
      </c>
    </row>
    <row r="57" spans="1:6" ht="16.8" x14ac:dyDescent="0.3">
      <c r="A57" s="75">
        <v>45</v>
      </c>
      <c r="B57" s="74" t="s">
        <v>911</v>
      </c>
      <c r="C57" s="74" t="s">
        <v>914</v>
      </c>
      <c r="D57" s="75" t="s">
        <v>6</v>
      </c>
      <c r="E57" s="79">
        <v>315000</v>
      </c>
      <c r="F57" s="88">
        <v>275000</v>
      </c>
    </row>
    <row r="58" spans="1:6" ht="16.8" x14ac:dyDescent="0.3">
      <c r="A58" s="75">
        <v>46</v>
      </c>
      <c r="B58" s="74" t="s">
        <v>270</v>
      </c>
      <c r="C58" s="74" t="s">
        <v>44</v>
      </c>
      <c r="D58" s="75" t="s">
        <v>6</v>
      </c>
      <c r="E58" s="79">
        <v>345000</v>
      </c>
      <c r="F58" s="88">
        <v>305000</v>
      </c>
    </row>
    <row r="59" spans="1:6" ht="16.8" x14ac:dyDescent="0.3">
      <c r="A59" s="75">
        <v>47</v>
      </c>
      <c r="B59" s="74" t="s">
        <v>271</v>
      </c>
      <c r="C59" s="74" t="s">
        <v>45</v>
      </c>
      <c r="D59" s="75" t="s">
        <v>6</v>
      </c>
      <c r="E59" s="79">
        <v>235000</v>
      </c>
      <c r="F59" s="88">
        <v>195000</v>
      </c>
    </row>
    <row r="60" spans="1:6" ht="16.8" x14ac:dyDescent="0.3">
      <c r="A60" s="75">
        <v>48</v>
      </c>
      <c r="B60" s="74" t="s">
        <v>272</v>
      </c>
      <c r="C60" s="74" t="s">
        <v>46</v>
      </c>
      <c r="D60" s="75" t="s">
        <v>6</v>
      </c>
      <c r="E60" s="79">
        <v>245000</v>
      </c>
      <c r="F60" s="88">
        <v>205000</v>
      </c>
    </row>
    <row r="61" spans="1:6" ht="16.8" x14ac:dyDescent="0.3">
      <c r="A61" s="75">
        <v>49</v>
      </c>
      <c r="B61" s="74" t="s">
        <v>273</v>
      </c>
      <c r="C61" s="74" t="s">
        <v>47</v>
      </c>
      <c r="D61" s="75" t="s">
        <v>6</v>
      </c>
      <c r="E61" s="79">
        <v>255000</v>
      </c>
      <c r="F61" s="88">
        <v>215000</v>
      </c>
    </row>
    <row r="62" spans="1:6" ht="16.8" x14ac:dyDescent="0.3">
      <c r="A62" s="75">
        <v>50</v>
      </c>
      <c r="B62" s="74" t="s">
        <v>274</v>
      </c>
      <c r="C62" s="74" t="s">
        <v>48</v>
      </c>
      <c r="D62" s="75" t="s">
        <v>6</v>
      </c>
      <c r="E62" s="79">
        <v>275000</v>
      </c>
      <c r="F62" s="88">
        <v>235000</v>
      </c>
    </row>
    <row r="63" spans="1:6" ht="16.8" x14ac:dyDescent="0.3">
      <c r="A63" s="75">
        <v>51</v>
      </c>
      <c r="B63" s="74" t="s">
        <v>275</v>
      </c>
      <c r="C63" s="74" t="s">
        <v>49</v>
      </c>
      <c r="D63" s="75" t="s">
        <v>6</v>
      </c>
      <c r="E63" s="79">
        <v>305000</v>
      </c>
      <c r="F63" s="88">
        <v>265000</v>
      </c>
    </row>
    <row r="64" spans="1:6" ht="16.8" x14ac:dyDescent="0.3">
      <c r="A64" s="75">
        <v>52</v>
      </c>
      <c r="B64" s="74" t="s">
        <v>912</v>
      </c>
      <c r="C64" s="74" t="s">
        <v>913</v>
      </c>
      <c r="D64" s="75" t="s">
        <v>6</v>
      </c>
      <c r="E64" s="79">
        <v>335000</v>
      </c>
      <c r="F64" s="88">
        <v>295000</v>
      </c>
    </row>
    <row r="65" spans="1:6" ht="16.8" x14ac:dyDescent="0.3">
      <c r="A65" s="75">
        <v>53</v>
      </c>
      <c r="B65" s="74" t="s">
        <v>276</v>
      </c>
      <c r="C65" s="74" t="s">
        <v>50</v>
      </c>
      <c r="D65" s="75" t="s">
        <v>6</v>
      </c>
      <c r="E65" s="79">
        <v>365000</v>
      </c>
      <c r="F65" s="88">
        <v>325000</v>
      </c>
    </row>
    <row r="66" spans="1:6" ht="18.75" customHeight="1" x14ac:dyDescent="0.3">
      <c r="A66" s="111" t="s">
        <v>898</v>
      </c>
      <c r="B66" s="112"/>
      <c r="C66" s="112"/>
      <c r="D66" s="112"/>
      <c r="E66" s="112"/>
      <c r="F66" s="88"/>
    </row>
    <row r="67" spans="1:6" ht="16.8" x14ac:dyDescent="0.3">
      <c r="A67" s="75">
        <v>54</v>
      </c>
      <c r="B67" s="74" t="s">
        <v>277</v>
      </c>
      <c r="C67" s="74" t="s">
        <v>51</v>
      </c>
      <c r="D67" s="75" t="s">
        <v>6</v>
      </c>
      <c r="E67" s="76">
        <v>350000</v>
      </c>
      <c r="F67" s="88">
        <v>300000</v>
      </c>
    </row>
    <row r="68" spans="1:6" ht="16.8" x14ac:dyDescent="0.3">
      <c r="A68" s="75">
        <v>55</v>
      </c>
      <c r="B68" s="74" t="s">
        <v>278</v>
      </c>
      <c r="C68" s="74" t="s">
        <v>52</v>
      </c>
      <c r="D68" s="75" t="s">
        <v>6</v>
      </c>
      <c r="E68" s="76">
        <v>370000</v>
      </c>
      <c r="F68" s="88">
        <v>320000</v>
      </c>
    </row>
    <row r="69" spans="1:6" ht="16.8" x14ac:dyDescent="0.3">
      <c r="A69" s="75">
        <v>56</v>
      </c>
      <c r="B69" s="74" t="s">
        <v>279</v>
      </c>
      <c r="C69" s="74" t="s">
        <v>53</v>
      </c>
      <c r="D69" s="75" t="s">
        <v>6</v>
      </c>
      <c r="E69" s="76">
        <v>410000</v>
      </c>
      <c r="F69" s="88">
        <v>360000</v>
      </c>
    </row>
    <row r="70" spans="1:6" ht="16.8" x14ac:dyDescent="0.3">
      <c r="A70" s="75">
        <v>57</v>
      </c>
      <c r="B70" s="74" t="s">
        <v>692</v>
      </c>
      <c r="C70" s="74" t="s">
        <v>54</v>
      </c>
      <c r="D70" s="75" t="s">
        <v>6</v>
      </c>
      <c r="E70" s="76">
        <v>450000</v>
      </c>
      <c r="F70" s="88">
        <v>400000</v>
      </c>
    </row>
    <row r="71" spans="1:6" ht="16.8" x14ac:dyDescent="0.3">
      <c r="A71" s="75">
        <v>58</v>
      </c>
      <c r="B71" s="74" t="s">
        <v>691</v>
      </c>
      <c r="C71" s="74" t="s">
        <v>55</v>
      </c>
      <c r="D71" s="75" t="s">
        <v>6</v>
      </c>
      <c r="E71" s="76">
        <v>480000</v>
      </c>
      <c r="F71" s="88">
        <v>420000</v>
      </c>
    </row>
    <row r="72" spans="1:6" ht="16.8" x14ac:dyDescent="0.3">
      <c r="A72" s="75">
        <v>59</v>
      </c>
      <c r="B72" s="74" t="s">
        <v>690</v>
      </c>
      <c r="C72" s="74" t="s">
        <v>693</v>
      </c>
      <c r="D72" s="75" t="s">
        <v>6</v>
      </c>
      <c r="E72" s="76">
        <v>520000</v>
      </c>
      <c r="F72" s="88">
        <v>460000</v>
      </c>
    </row>
    <row r="73" spans="1:6" ht="16.8" x14ac:dyDescent="0.3">
      <c r="A73" s="75">
        <v>60</v>
      </c>
      <c r="B73" s="74" t="s">
        <v>689</v>
      </c>
      <c r="C73" s="74" t="s">
        <v>694</v>
      </c>
      <c r="D73" s="75" t="s">
        <v>6</v>
      </c>
      <c r="E73" s="76">
        <v>550000</v>
      </c>
      <c r="F73" s="88">
        <v>490000</v>
      </c>
    </row>
    <row r="74" spans="1:6" ht="18.75" customHeight="1" x14ac:dyDescent="0.3">
      <c r="A74" s="111" t="s">
        <v>900</v>
      </c>
      <c r="B74" s="112"/>
      <c r="C74" s="112"/>
      <c r="D74" s="112"/>
      <c r="E74" s="112"/>
      <c r="F74" s="88"/>
    </row>
    <row r="75" spans="1:6" ht="16.8" x14ac:dyDescent="0.3">
      <c r="A75" s="75">
        <v>61</v>
      </c>
      <c r="B75" s="74" t="s">
        <v>280</v>
      </c>
      <c r="C75" s="74" t="s">
        <v>56</v>
      </c>
      <c r="D75" s="75" t="s">
        <v>6</v>
      </c>
      <c r="E75" s="76">
        <v>50000</v>
      </c>
      <c r="F75" s="88">
        <v>40000</v>
      </c>
    </row>
    <row r="76" spans="1:6" ht="16.8" x14ac:dyDescent="0.3">
      <c r="A76" s="75">
        <v>62</v>
      </c>
      <c r="B76" s="74" t="s">
        <v>281</v>
      </c>
      <c r="C76" s="74" t="s">
        <v>57</v>
      </c>
      <c r="D76" s="75" t="s">
        <v>6</v>
      </c>
      <c r="E76" s="76">
        <v>46000</v>
      </c>
      <c r="F76" s="88">
        <v>36000</v>
      </c>
    </row>
    <row r="77" spans="1:6" ht="16.8" x14ac:dyDescent="0.3">
      <c r="A77" s="75">
        <v>63</v>
      </c>
      <c r="B77" s="74" t="s">
        <v>282</v>
      </c>
      <c r="C77" s="74" t="s">
        <v>58</v>
      </c>
      <c r="D77" s="75" t="s">
        <v>6</v>
      </c>
      <c r="E77" s="76">
        <v>42000</v>
      </c>
      <c r="F77" s="88">
        <v>32000</v>
      </c>
    </row>
    <row r="78" spans="1:6" ht="16.8" x14ac:dyDescent="0.3">
      <c r="A78" s="75">
        <v>64</v>
      </c>
      <c r="B78" s="74" t="s">
        <v>283</v>
      </c>
      <c r="C78" s="74" t="s">
        <v>59</v>
      </c>
      <c r="D78" s="75" t="s">
        <v>6</v>
      </c>
      <c r="E78" s="76">
        <v>65000</v>
      </c>
      <c r="F78" s="88">
        <v>50000</v>
      </c>
    </row>
    <row r="79" spans="1:6" ht="18.75" customHeight="1" x14ac:dyDescent="0.3">
      <c r="A79" s="111" t="s">
        <v>901</v>
      </c>
      <c r="B79" s="112"/>
      <c r="C79" s="112"/>
      <c r="D79" s="112"/>
      <c r="E79" s="112"/>
      <c r="F79" s="88"/>
    </row>
    <row r="80" spans="1:6" ht="16.8" x14ac:dyDescent="0.3">
      <c r="A80" s="75">
        <v>65</v>
      </c>
      <c r="B80" s="74" t="s">
        <v>287</v>
      </c>
      <c r="C80" s="74" t="s">
        <v>288</v>
      </c>
      <c r="D80" s="75" t="s">
        <v>6</v>
      </c>
      <c r="E80" s="76">
        <v>395000</v>
      </c>
      <c r="F80" s="88">
        <v>345000</v>
      </c>
    </row>
    <row r="81" spans="1:6" ht="16.8" x14ac:dyDescent="0.3">
      <c r="A81" s="75">
        <v>66</v>
      </c>
      <c r="B81" s="74" t="s">
        <v>60</v>
      </c>
      <c r="C81" s="74" t="s">
        <v>61</v>
      </c>
      <c r="D81" s="75" t="s">
        <v>6</v>
      </c>
      <c r="E81" s="76">
        <v>415000</v>
      </c>
      <c r="F81" s="88">
        <v>365000</v>
      </c>
    </row>
    <row r="82" spans="1:6" ht="16.8" x14ac:dyDescent="0.3">
      <c r="A82" s="75">
        <v>67</v>
      </c>
      <c r="B82" s="74" t="s">
        <v>62</v>
      </c>
      <c r="C82" s="74" t="s">
        <v>63</v>
      </c>
      <c r="D82" s="75" t="s">
        <v>6</v>
      </c>
      <c r="E82" s="76">
        <v>465000</v>
      </c>
      <c r="F82" s="88">
        <v>415000</v>
      </c>
    </row>
    <row r="83" spans="1:6" ht="16.8" x14ac:dyDescent="0.3">
      <c r="A83" s="75">
        <v>68</v>
      </c>
      <c r="B83" s="74" t="s">
        <v>695</v>
      </c>
      <c r="C83" s="74" t="s">
        <v>64</v>
      </c>
      <c r="D83" s="75" t="s">
        <v>6</v>
      </c>
      <c r="E83" s="76">
        <v>505000</v>
      </c>
      <c r="F83" s="88">
        <v>465000</v>
      </c>
    </row>
    <row r="84" spans="1:6" ht="16.8" x14ac:dyDescent="0.3">
      <c r="A84" s="111" t="s">
        <v>902</v>
      </c>
      <c r="B84" s="112"/>
      <c r="C84" s="112"/>
      <c r="D84" s="112"/>
      <c r="E84" s="112"/>
      <c r="F84" s="88"/>
    </row>
    <row r="85" spans="1:6" ht="16.8" x14ac:dyDescent="0.3">
      <c r="A85" s="75">
        <v>69</v>
      </c>
      <c r="B85" s="74" t="s">
        <v>289</v>
      </c>
      <c r="C85" s="74" t="s">
        <v>290</v>
      </c>
      <c r="D85" s="75" t="s">
        <v>6</v>
      </c>
      <c r="E85" s="76">
        <v>370000</v>
      </c>
      <c r="F85" s="88">
        <v>320000</v>
      </c>
    </row>
    <row r="86" spans="1:6" ht="16.8" x14ac:dyDescent="0.3">
      <c r="A86" s="75">
        <v>70</v>
      </c>
      <c r="B86" s="74" t="s">
        <v>65</v>
      </c>
      <c r="C86" s="74" t="s">
        <v>66</v>
      </c>
      <c r="D86" s="75" t="s">
        <v>6</v>
      </c>
      <c r="E86" s="76">
        <v>385000</v>
      </c>
      <c r="F86" s="88">
        <v>335000</v>
      </c>
    </row>
    <row r="87" spans="1:6" ht="16.8" x14ac:dyDescent="0.3">
      <c r="A87" s="75">
        <v>71</v>
      </c>
      <c r="B87" s="74" t="s">
        <v>67</v>
      </c>
      <c r="C87" s="74" t="s">
        <v>68</v>
      </c>
      <c r="D87" s="75" t="s">
        <v>6</v>
      </c>
      <c r="E87" s="76">
        <v>425000</v>
      </c>
      <c r="F87" s="88">
        <v>375000</v>
      </c>
    </row>
    <row r="88" spans="1:6" ht="16.8" x14ac:dyDescent="0.3">
      <c r="A88" s="75">
        <v>72</v>
      </c>
      <c r="B88" s="74" t="s">
        <v>696</v>
      </c>
      <c r="C88" s="74" t="s">
        <v>69</v>
      </c>
      <c r="D88" s="75" t="s">
        <v>6</v>
      </c>
      <c r="E88" s="76">
        <v>465000</v>
      </c>
      <c r="F88" s="88">
        <v>425000</v>
      </c>
    </row>
    <row r="89" spans="1:6" x14ac:dyDescent="0.3">
      <c r="A89" s="95" t="s">
        <v>915</v>
      </c>
      <c r="B89" s="95"/>
      <c r="C89" s="95"/>
      <c r="D89" s="95"/>
      <c r="E89" s="95"/>
      <c r="F89" s="1"/>
    </row>
    <row r="90" spans="1:6" x14ac:dyDescent="0.3">
      <c r="A90" s="95" t="s">
        <v>919</v>
      </c>
      <c r="B90" s="95"/>
      <c r="C90" s="95"/>
      <c r="D90" s="95"/>
      <c r="E90" s="95"/>
      <c r="F90" s="1"/>
    </row>
    <row r="91" spans="1:6" x14ac:dyDescent="0.3">
      <c r="A91" s="95" t="s">
        <v>664</v>
      </c>
      <c r="B91" s="95"/>
      <c r="C91" s="95"/>
      <c r="D91" s="95"/>
      <c r="E91" s="95"/>
      <c r="F91" s="1"/>
    </row>
    <row r="92" spans="1:6" x14ac:dyDescent="0.3">
      <c r="A92" s="96"/>
      <c r="B92" s="96"/>
      <c r="C92" s="96"/>
      <c r="D92" s="96"/>
      <c r="E92" s="96"/>
    </row>
    <row r="93" spans="1:6" x14ac:dyDescent="0.3">
      <c r="A93" s="96"/>
      <c r="B93" s="96"/>
      <c r="C93" s="96"/>
      <c r="D93" s="96"/>
      <c r="E93" s="96"/>
    </row>
    <row r="94" spans="1:6" x14ac:dyDescent="0.3">
      <c r="A94" s="96"/>
      <c r="B94" s="96"/>
      <c r="C94" s="96"/>
      <c r="D94" s="96"/>
      <c r="E94" s="96"/>
    </row>
    <row r="95" spans="1:6" x14ac:dyDescent="0.3">
      <c r="A95" s="96"/>
      <c r="B95" s="96"/>
      <c r="C95" s="96"/>
      <c r="D95" s="96"/>
      <c r="E95" s="96"/>
    </row>
    <row r="96" spans="1:6" x14ac:dyDescent="0.3">
      <c r="A96" s="96"/>
      <c r="B96" s="96"/>
      <c r="C96" s="96"/>
      <c r="D96" s="96"/>
      <c r="E96" s="96"/>
    </row>
    <row r="97" spans="1:5" x14ac:dyDescent="0.3">
      <c r="A97" s="96"/>
      <c r="B97" s="96"/>
      <c r="C97" s="96"/>
      <c r="D97" s="96"/>
      <c r="E97" s="96"/>
    </row>
    <row r="98" spans="1:5" x14ac:dyDescent="0.3">
      <c r="A98" s="96"/>
      <c r="B98" s="96"/>
      <c r="C98" s="96"/>
      <c r="D98" s="96"/>
      <c r="E98" s="96"/>
    </row>
  </sheetData>
  <mergeCells count="22">
    <mergeCell ref="A95:E95"/>
    <mergeCell ref="A96:E96"/>
    <mergeCell ref="A97:E97"/>
    <mergeCell ref="A98:E98"/>
    <mergeCell ref="A89:E89"/>
    <mergeCell ref="A90:E90"/>
    <mergeCell ref="A91:E91"/>
    <mergeCell ref="A92:E92"/>
    <mergeCell ref="A93:E93"/>
    <mergeCell ref="A94:E94"/>
    <mergeCell ref="A84:E84"/>
    <mergeCell ref="A1:B5"/>
    <mergeCell ref="C1:E5"/>
    <mergeCell ref="A6:E6"/>
    <mergeCell ref="A7:E7"/>
    <mergeCell ref="A9:E9"/>
    <mergeCell ref="A31:E31"/>
    <mergeCell ref="A39:E39"/>
    <mergeCell ref="A44:E44"/>
    <mergeCell ref="A66:E66"/>
    <mergeCell ref="A74:E74"/>
    <mergeCell ref="A79:E7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C34B-EA77-4646-A7E4-23B72036F466}">
  <dimension ref="A1:G208"/>
  <sheetViews>
    <sheetView topLeftCell="A52" workbookViewId="0">
      <selection activeCell="B65" sqref="B65"/>
    </sheetView>
  </sheetViews>
  <sheetFormatPr defaultColWidth="10.33203125" defaultRowHeight="16.8" x14ac:dyDescent="0.3"/>
  <cols>
    <col min="1" max="1" width="6.33203125" style="43" customWidth="1"/>
    <col min="2" max="2" width="49.6640625" style="43" customWidth="1"/>
    <col min="3" max="3" width="19" style="43" customWidth="1"/>
    <col min="4" max="4" width="9.44140625" style="43" customWidth="1"/>
    <col min="5" max="5" width="17.77734375" style="45" customWidth="1"/>
    <col min="6" max="6" width="10.33203125" style="46"/>
    <col min="7" max="7" width="42.6640625" style="43" customWidth="1"/>
    <col min="8" max="16384" width="10.33203125" style="43"/>
  </cols>
  <sheetData>
    <row r="1" spans="1:7" ht="15.75" customHeight="1" x14ac:dyDescent="0.3">
      <c r="A1" s="130"/>
      <c r="B1" s="131"/>
      <c r="C1" s="136" t="s">
        <v>366</v>
      </c>
      <c r="D1" s="137"/>
      <c r="E1" s="137"/>
    </row>
    <row r="2" spans="1:7" x14ac:dyDescent="0.3">
      <c r="A2" s="132"/>
      <c r="B2" s="133"/>
      <c r="C2" s="136"/>
      <c r="D2" s="137"/>
      <c r="E2" s="137"/>
    </row>
    <row r="3" spans="1:7" x14ac:dyDescent="0.3">
      <c r="A3" s="132"/>
      <c r="B3" s="133"/>
      <c r="C3" s="136"/>
      <c r="D3" s="137"/>
      <c r="E3" s="137"/>
    </row>
    <row r="4" spans="1:7" ht="17.25" customHeight="1" x14ac:dyDescent="0.3">
      <c r="A4" s="132"/>
      <c r="B4" s="133"/>
      <c r="C4" s="136"/>
      <c r="D4" s="137"/>
      <c r="E4" s="137"/>
    </row>
    <row r="5" spans="1:7" ht="26.25" customHeight="1" x14ac:dyDescent="0.3">
      <c r="A5" s="134"/>
      <c r="B5" s="135"/>
      <c r="C5" s="136"/>
      <c r="D5" s="137"/>
      <c r="E5" s="137"/>
    </row>
    <row r="6" spans="1:7" ht="34.5" customHeight="1" x14ac:dyDescent="0.3">
      <c r="A6" s="138" t="s">
        <v>233</v>
      </c>
      <c r="B6" s="139"/>
      <c r="C6" s="139"/>
      <c r="D6" s="139"/>
      <c r="E6" s="139"/>
    </row>
    <row r="7" spans="1:7" ht="28.5" customHeight="1" x14ac:dyDescent="0.3">
      <c r="A7" s="140" t="s">
        <v>668</v>
      </c>
      <c r="B7" s="141"/>
      <c r="C7" s="141"/>
      <c r="D7" s="141"/>
      <c r="E7" s="141"/>
    </row>
    <row r="8" spans="1:7" ht="68.25" customHeight="1" x14ac:dyDescent="0.3">
      <c r="A8" s="44" t="s">
        <v>0</v>
      </c>
      <c r="B8" s="44" t="s">
        <v>1</v>
      </c>
      <c r="C8" s="44" t="s">
        <v>2</v>
      </c>
      <c r="D8" s="44" t="s">
        <v>3</v>
      </c>
      <c r="E8" s="61" t="s">
        <v>4</v>
      </c>
      <c r="F8" s="64" t="s">
        <v>297</v>
      </c>
    </row>
    <row r="9" spans="1:7" ht="26.25" customHeight="1" x14ac:dyDescent="0.3">
      <c r="A9" s="142" t="s">
        <v>697</v>
      </c>
      <c r="B9" s="143"/>
      <c r="C9" s="143"/>
      <c r="D9" s="143"/>
      <c r="E9" s="143"/>
      <c r="F9" s="65"/>
    </row>
    <row r="10" spans="1:7" x14ac:dyDescent="0.3">
      <c r="A10" s="3">
        <v>1</v>
      </c>
      <c r="B10" s="4" t="s">
        <v>367</v>
      </c>
      <c r="C10" s="4" t="s">
        <v>368</v>
      </c>
      <c r="D10" s="3" t="s">
        <v>6</v>
      </c>
      <c r="E10" s="62">
        <v>235000</v>
      </c>
      <c r="F10" s="65">
        <v>200000</v>
      </c>
      <c r="G10" s="46">
        <f>85%*E10</f>
        <v>199750</v>
      </c>
    </row>
    <row r="11" spans="1:7" x14ac:dyDescent="0.3">
      <c r="A11" s="3">
        <v>2</v>
      </c>
      <c r="B11" s="4" t="s">
        <v>369</v>
      </c>
      <c r="C11" s="4" t="s">
        <v>370</v>
      </c>
      <c r="D11" s="3" t="s">
        <v>6</v>
      </c>
      <c r="E11" s="62">
        <v>245000</v>
      </c>
      <c r="F11" s="65">
        <v>210000</v>
      </c>
      <c r="G11" s="46">
        <f t="shared" ref="G11:G68" si="0">85%*E11</f>
        <v>208250</v>
      </c>
    </row>
    <row r="12" spans="1:7" x14ac:dyDescent="0.3">
      <c r="A12" s="3">
        <v>3</v>
      </c>
      <c r="B12" s="4" t="s">
        <v>371</v>
      </c>
      <c r="C12" s="4" t="s">
        <v>372</v>
      </c>
      <c r="D12" s="3" t="s">
        <v>6</v>
      </c>
      <c r="E12" s="62">
        <v>255000</v>
      </c>
      <c r="F12" s="65">
        <v>220000</v>
      </c>
      <c r="G12" s="46">
        <f t="shared" si="0"/>
        <v>216750</v>
      </c>
    </row>
    <row r="13" spans="1:7" x14ac:dyDescent="0.3">
      <c r="A13" s="3">
        <v>4</v>
      </c>
      <c r="B13" s="4" t="s">
        <v>373</v>
      </c>
      <c r="C13" s="4" t="s">
        <v>374</v>
      </c>
      <c r="D13" s="3" t="s">
        <v>6</v>
      </c>
      <c r="E13" s="62">
        <v>275000</v>
      </c>
      <c r="F13" s="65">
        <v>240000</v>
      </c>
      <c r="G13" s="46">
        <f t="shared" si="0"/>
        <v>233750</v>
      </c>
    </row>
    <row r="14" spans="1:7" x14ac:dyDescent="0.3">
      <c r="A14" s="3">
        <v>5</v>
      </c>
      <c r="B14" s="4" t="s">
        <v>375</v>
      </c>
      <c r="C14" s="4" t="s">
        <v>376</v>
      </c>
      <c r="D14" s="3" t="s">
        <v>6</v>
      </c>
      <c r="E14" s="62">
        <v>305000</v>
      </c>
      <c r="F14" s="65">
        <v>270000</v>
      </c>
      <c r="G14" s="46">
        <f t="shared" si="0"/>
        <v>259250</v>
      </c>
    </row>
    <row r="15" spans="1:7" x14ac:dyDescent="0.3">
      <c r="A15" s="3">
        <v>6</v>
      </c>
      <c r="B15" s="4" t="s">
        <v>377</v>
      </c>
      <c r="C15" s="4" t="s">
        <v>378</v>
      </c>
      <c r="D15" s="3" t="s">
        <v>6</v>
      </c>
      <c r="E15" s="62">
        <v>365000</v>
      </c>
      <c r="F15" s="65">
        <v>310000</v>
      </c>
      <c r="G15" s="46">
        <f t="shared" si="0"/>
        <v>310250</v>
      </c>
    </row>
    <row r="16" spans="1:7" x14ac:dyDescent="0.3">
      <c r="A16" s="3">
        <v>7</v>
      </c>
      <c r="B16" s="4" t="s">
        <v>379</v>
      </c>
      <c r="C16" s="4" t="s">
        <v>380</v>
      </c>
      <c r="D16" s="3" t="s">
        <v>6</v>
      </c>
      <c r="E16" s="62">
        <v>255000</v>
      </c>
      <c r="F16" s="65">
        <v>220000</v>
      </c>
      <c r="G16" s="46">
        <f t="shared" si="0"/>
        <v>216750</v>
      </c>
    </row>
    <row r="17" spans="1:7" x14ac:dyDescent="0.3">
      <c r="A17" s="3">
        <v>8</v>
      </c>
      <c r="B17" s="4" t="s">
        <v>381</v>
      </c>
      <c r="C17" s="4" t="s">
        <v>382</v>
      </c>
      <c r="D17" s="3" t="s">
        <v>6</v>
      </c>
      <c r="E17" s="62">
        <v>265000</v>
      </c>
      <c r="F17" s="65">
        <v>230000</v>
      </c>
      <c r="G17" s="46">
        <f t="shared" si="0"/>
        <v>225250</v>
      </c>
    </row>
    <row r="18" spans="1:7" x14ac:dyDescent="0.3">
      <c r="A18" s="3">
        <v>9</v>
      </c>
      <c r="B18" s="4" t="s">
        <v>383</v>
      </c>
      <c r="C18" s="4" t="s">
        <v>384</v>
      </c>
      <c r="D18" s="3" t="s">
        <v>6</v>
      </c>
      <c r="E18" s="62">
        <v>275000</v>
      </c>
      <c r="F18" s="65">
        <v>240000</v>
      </c>
      <c r="G18" s="46">
        <f t="shared" si="0"/>
        <v>233750</v>
      </c>
    </row>
    <row r="19" spans="1:7" x14ac:dyDescent="0.3">
      <c r="A19" s="3">
        <v>10</v>
      </c>
      <c r="B19" s="4" t="s">
        <v>385</v>
      </c>
      <c r="C19" s="4" t="s">
        <v>386</v>
      </c>
      <c r="D19" s="3" t="s">
        <v>6</v>
      </c>
      <c r="E19" s="62">
        <v>295000</v>
      </c>
      <c r="F19" s="65">
        <v>260000</v>
      </c>
      <c r="G19" s="46">
        <f t="shared" si="0"/>
        <v>250750</v>
      </c>
    </row>
    <row r="20" spans="1:7" x14ac:dyDescent="0.3">
      <c r="A20" s="3">
        <v>11</v>
      </c>
      <c r="B20" s="4" t="s">
        <v>387</v>
      </c>
      <c r="C20" s="4" t="s">
        <v>388</v>
      </c>
      <c r="D20" s="3" t="s">
        <v>6</v>
      </c>
      <c r="E20" s="62">
        <v>325000</v>
      </c>
      <c r="F20" s="65">
        <v>290000</v>
      </c>
      <c r="G20" s="46">
        <f t="shared" si="0"/>
        <v>276250</v>
      </c>
    </row>
    <row r="21" spans="1:7" x14ac:dyDescent="0.3">
      <c r="A21" s="3">
        <v>12</v>
      </c>
      <c r="B21" s="4" t="s">
        <v>389</v>
      </c>
      <c r="C21" s="4" t="s">
        <v>390</v>
      </c>
      <c r="D21" s="3" t="s">
        <v>6</v>
      </c>
      <c r="E21" s="62">
        <v>385000</v>
      </c>
      <c r="F21" s="65">
        <v>330000</v>
      </c>
      <c r="G21" s="46">
        <f t="shared" si="0"/>
        <v>327250</v>
      </c>
    </row>
    <row r="22" spans="1:7" x14ac:dyDescent="0.3">
      <c r="A22" s="3">
        <v>13</v>
      </c>
      <c r="B22" s="4" t="s">
        <v>391</v>
      </c>
      <c r="C22" s="4" t="s">
        <v>392</v>
      </c>
      <c r="D22" s="3" t="s">
        <v>6</v>
      </c>
      <c r="E22" s="62">
        <v>275000</v>
      </c>
      <c r="F22" s="65">
        <v>240000</v>
      </c>
      <c r="G22" s="46">
        <f t="shared" si="0"/>
        <v>233750</v>
      </c>
    </row>
    <row r="23" spans="1:7" x14ac:dyDescent="0.3">
      <c r="A23" s="3">
        <v>14</v>
      </c>
      <c r="B23" s="4" t="s">
        <v>393</v>
      </c>
      <c r="C23" s="4" t="s">
        <v>394</v>
      </c>
      <c r="D23" s="3" t="s">
        <v>6</v>
      </c>
      <c r="E23" s="62">
        <v>285000</v>
      </c>
      <c r="F23" s="65">
        <v>250000</v>
      </c>
      <c r="G23" s="46">
        <f t="shared" si="0"/>
        <v>242250</v>
      </c>
    </row>
    <row r="24" spans="1:7" x14ac:dyDescent="0.3">
      <c r="A24" s="3">
        <v>15</v>
      </c>
      <c r="B24" s="4" t="s">
        <v>395</v>
      </c>
      <c r="C24" s="4" t="s">
        <v>396</v>
      </c>
      <c r="D24" s="3" t="s">
        <v>6</v>
      </c>
      <c r="E24" s="62">
        <v>295000</v>
      </c>
      <c r="F24" s="65">
        <v>260000</v>
      </c>
      <c r="G24" s="46">
        <f t="shared" si="0"/>
        <v>250750</v>
      </c>
    </row>
    <row r="25" spans="1:7" x14ac:dyDescent="0.3">
      <c r="A25" s="3">
        <v>16</v>
      </c>
      <c r="B25" s="4" t="s">
        <v>397</v>
      </c>
      <c r="C25" s="4" t="s">
        <v>398</v>
      </c>
      <c r="D25" s="3" t="s">
        <v>6</v>
      </c>
      <c r="E25" s="62">
        <v>315000</v>
      </c>
      <c r="F25" s="65">
        <v>280000</v>
      </c>
      <c r="G25" s="46">
        <f t="shared" si="0"/>
        <v>267750</v>
      </c>
    </row>
    <row r="26" spans="1:7" x14ac:dyDescent="0.3">
      <c r="A26" s="3">
        <v>17</v>
      </c>
      <c r="B26" s="4" t="s">
        <v>399</v>
      </c>
      <c r="C26" s="4" t="s">
        <v>400</v>
      </c>
      <c r="D26" s="3" t="s">
        <v>6</v>
      </c>
      <c r="E26" s="62">
        <v>345000</v>
      </c>
      <c r="F26" s="65">
        <v>310000</v>
      </c>
      <c r="G26" s="46">
        <f t="shared" si="0"/>
        <v>293250</v>
      </c>
    </row>
    <row r="27" spans="1:7" x14ac:dyDescent="0.3">
      <c r="A27" s="3">
        <v>18</v>
      </c>
      <c r="B27" s="4" t="s">
        <v>401</v>
      </c>
      <c r="C27" s="4" t="s">
        <v>402</v>
      </c>
      <c r="D27" s="3" t="s">
        <v>6</v>
      </c>
      <c r="E27" s="62">
        <v>405000</v>
      </c>
      <c r="F27" s="65">
        <v>360000</v>
      </c>
      <c r="G27" s="46">
        <f t="shared" si="0"/>
        <v>344250</v>
      </c>
    </row>
    <row r="28" spans="1:7" x14ac:dyDescent="0.3">
      <c r="A28" s="128" t="s">
        <v>403</v>
      </c>
      <c r="B28" s="129"/>
      <c r="C28" s="129"/>
      <c r="D28" s="129"/>
      <c r="E28" s="129"/>
      <c r="F28" s="65"/>
      <c r="G28" s="46">
        <f t="shared" si="0"/>
        <v>0</v>
      </c>
    </row>
    <row r="29" spans="1:7" x14ac:dyDescent="0.3">
      <c r="A29" s="3">
        <v>19</v>
      </c>
      <c r="B29" s="4" t="s">
        <v>404</v>
      </c>
      <c r="C29" s="4" t="s">
        <v>405</v>
      </c>
      <c r="D29" s="3" t="s">
        <v>6</v>
      </c>
      <c r="E29" s="62">
        <v>420000</v>
      </c>
      <c r="F29" s="65">
        <v>370000</v>
      </c>
      <c r="G29" s="46">
        <f t="shared" si="0"/>
        <v>357000</v>
      </c>
    </row>
    <row r="30" spans="1:7" x14ac:dyDescent="0.3">
      <c r="A30" s="3">
        <v>20</v>
      </c>
      <c r="B30" s="4" t="s">
        <v>406</v>
      </c>
      <c r="C30" s="4" t="s">
        <v>407</v>
      </c>
      <c r="D30" s="3" t="s">
        <v>6</v>
      </c>
      <c r="E30" s="62">
        <v>440000</v>
      </c>
      <c r="F30" s="65">
        <v>390000</v>
      </c>
      <c r="G30" s="46">
        <f t="shared" si="0"/>
        <v>374000</v>
      </c>
    </row>
    <row r="31" spans="1:7" x14ac:dyDescent="0.3">
      <c r="A31" s="3">
        <v>21</v>
      </c>
      <c r="B31" s="4" t="s">
        <v>408</v>
      </c>
      <c r="C31" s="4" t="s">
        <v>409</v>
      </c>
      <c r="D31" s="3" t="s">
        <v>6</v>
      </c>
      <c r="E31" s="62">
        <v>490000</v>
      </c>
      <c r="F31" s="65">
        <v>440000</v>
      </c>
      <c r="G31" s="46">
        <f t="shared" si="0"/>
        <v>416500</v>
      </c>
    </row>
    <row r="32" spans="1:7" x14ac:dyDescent="0.3">
      <c r="A32" s="3">
        <v>22</v>
      </c>
      <c r="B32" s="4" t="s">
        <v>410</v>
      </c>
      <c r="C32" s="4" t="s">
        <v>411</v>
      </c>
      <c r="D32" s="3" t="s">
        <v>6</v>
      </c>
      <c r="E32" s="62">
        <v>540000</v>
      </c>
      <c r="F32" s="65">
        <v>490000</v>
      </c>
      <c r="G32" s="46">
        <f t="shared" si="0"/>
        <v>459000</v>
      </c>
    </row>
    <row r="33" spans="1:7" x14ac:dyDescent="0.3">
      <c r="A33" s="3">
        <v>23</v>
      </c>
      <c r="B33" s="4" t="s">
        <v>412</v>
      </c>
      <c r="C33" s="4" t="s">
        <v>413</v>
      </c>
      <c r="D33" s="3" t="s">
        <v>6</v>
      </c>
      <c r="E33" s="62">
        <v>570000</v>
      </c>
      <c r="F33" s="65">
        <v>520000</v>
      </c>
      <c r="G33" s="46">
        <f t="shared" si="0"/>
        <v>484500</v>
      </c>
    </row>
    <row r="34" spans="1:7" x14ac:dyDescent="0.3">
      <c r="A34" s="128" t="s">
        <v>414</v>
      </c>
      <c r="B34" s="129"/>
      <c r="C34" s="129"/>
      <c r="D34" s="129"/>
      <c r="E34" s="129"/>
      <c r="F34" s="65"/>
      <c r="G34" s="46">
        <f t="shared" si="0"/>
        <v>0</v>
      </c>
    </row>
    <row r="35" spans="1:7" x14ac:dyDescent="0.3">
      <c r="A35" s="3">
        <v>24</v>
      </c>
      <c r="B35" s="4" t="s">
        <v>415</v>
      </c>
      <c r="C35" s="4" t="s">
        <v>416</v>
      </c>
      <c r="D35" s="3" t="s">
        <v>6</v>
      </c>
      <c r="E35" s="63">
        <v>65000</v>
      </c>
      <c r="F35" s="65">
        <v>55000</v>
      </c>
      <c r="G35" s="46">
        <f t="shared" si="0"/>
        <v>55250</v>
      </c>
    </row>
    <row r="36" spans="1:7" ht="18.75" customHeight="1" x14ac:dyDescent="0.3">
      <c r="A36" s="3">
        <v>25</v>
      </c>
      <c r="B36" s="4" t="s">
        <v>417</v>
      </c>
      <c r="C36" s="4" t="s">
        <v>418</v>
      </c>
      <c r="D36" s="3" t="s">
        <v>6</v>
      </c>
      <c r="E36" s="63">
        <v>60000</v>
      </c>
      <c r="F36" s="65">
        <v>50000</v>
      </c>
      <c r="G36" s="46">
        <f t="shared" si="0"/>
        <v>51000</v>
      </c>
    </row>
    <row r="37" spans="1:7" x14ac:dyDescent="0.3">
      <c r="A37" s="3">
        <v>26</v>
      </c>
      <c r="B37" s="4" t="s">
        <v>419</v>
      </c>
      <c r="C37" s="4" t="s">
        <v>420</v>
      </c>
      <c r="D37" s="3" t="s">
        <v>6</v>
      </c>
      <c r="E37" s="63">
        <v>55000</v>
      </c>
      <c r="F37" s="65">
        <v>45000</v>
      </c>
      <c r="G37" s="46">
        <f t="shared" si="0"/>
        <v>46750</v>
      </c>
    </row>
    <row r="38" spans="1:7" ht="18.75" customHeight="1" x14ac:dyDescent="0.3">
      <c r="A38" s="3">
        <v>27</v>
      </c>
      <c r="B38" s="4" t="s">
        <v>421</v>
      </c>
      <c r="C38" s="4" t="s">
        <v>422</v>
      </c>
      <c r="D38" s="3" t="s">
        <v>6</v>
      </c>
      <c r="E38" s="63">
        <v>90000</v>
      </c>
      <c r="F38" s="65">
        <v>70000</v>
      </c>
      <c r="G38" s="46">
        <f t="shared" si="0"/>
        <v>76500</v>
      </c>
    </row>
    <row r="39" spans="1:7" x14ac:dyDescent="0.3">
      <c r="A39" s="128" t="s">
        <v>423</v>
      </c>
      <c r="B39" s="129"/>
      <c r="C39" s="129"/>
      <c r="D39" s="129"/>
      <c r="E39" s="129"/>
      <c r="F39" s="65"/>
      <c r="G39" s="46">
        <f t="shared" si="0"/>
        <v>0</v>
      </c>
    </row>
    <row r="40" spans="1:7" x14ac:dyDescent="0.3">
      <c r="A40" s="3">
        <v>28</v>
      </c>
      <c r="B40" s="4" t="s">
        <v>424</v>
      </c>
      <c r="C40" s="4" t="s">
        <v>425</v>
      </c>
      <c r="D40" s="3" t="s">
        <v>6</v>
      </c>
      <c r="E40" s="63">
        <v>225000</v>
      </c>
      <c r="F40" s="65">
        <v>190000</v>
      </c>
      <c r="G40" s="46">
        <f t="shared" si="0"/>
        <v>191250</v>
      </c>
    </row>
    <row r="41" spans="1:7" x14ac:dyDescent="0.3">
      <c r="A41" s="3">
        <v>29</v>
      </c>
      <c r="B41" s="4" t="s">
        <v>426</v>
      </c>
      <c r="C41" s="4" t="s">
        <v>427</v>
      </c>
      <c r="D41" s="3" t="s">
        <v>6</v>
      </c>
      <c r="E41" s="63">
        <v>235000</v>
      </c>
      <c r="F41" s="65">
        <v>200000</v>
      </c>
      <c r="G41" s="46">
        <f t="shared" si="0"/>
        <v>199750</v>
      </c>
    </row>
    <row r="42" spans="1:7" x14ac:dyDescent="0.3">
      <c r="A42" s="3">
        <v>30</v>
      </c>
      <c r="B42" s="4" t="s">
        <v>428</v>
      </c>
      <c r="C42" s="4" t="s">
        <v>429</v>
      </c>
      <c r="D42" s="3" t="s">
        <v>6</v>
      </c>
      <c r="E42" s="63">
        <v>245000</v>
      </c>
      <c r="F42" s="65">
        <v>210000</v>
      </c>
      <c r="G42" s="46">
        <f t="shared" si="0"/>
        <v>208250</v>
      </c>
    </row>
    <row r="43" spans="1:7" x14ac:dyDescent="0.3">
      <c r="A43" s="3">
        <v>31</v>
      </c>
      <c r="B43" s="4" t="s">
        <v>430</v>
      </c>
      <c r="C43" s="4" t="s">
        <v>431</v>
      </c>
      <c r="D43" s="3" t="s">
        <v>6</v>
      </c>
      <c r="E43" s="63">
        <v>265000</v>
      </c>
      <c r="F43" s="65">
        <v>230000</v>
      </c>
      <c r="G43" s="46">
        <f t="shared" si="0"/>
        <v>225250</v>
      </c>
    </row>
    <row r="44" spans="1:7" x14ac:dyDescent="0.3">
      <c r="A44" s="3">
        <v>32</v>
      </c>
      <c r="B44" s="4" t="s">
        <v>432</v>
      </c>
      <c r="C44" s="4" t="s">
        <v>433</v>
      </c>
      <c r="D44" s="3" t="s">
        <v>6</v>
      </c>
      <c r="E44" s="63">
        <v>295000</v>
      </c>
      <c r="F44" s="65">
        <v>260000</v>
      </c>
      <c r="G44" s="46">
        <f t="shared" si="0"/>
        <v>250750</v>
      </c>
    </row>
    <row r="45" spans="1:7" x14ac:dyDescent="0.3">
      <c r="A45" s="3">
        <v>33</v>
      </c>
      <c r="B45" s="4" t="s">
        <v>434</v>
      </c>
      <c r="C45" s="4" t="s">
        <v>435</v>
      </c>
      <c r="D45" s="3" t="s">
        <v>6</v>
      </c>
      <c r="E45" s="63">
        <v>355000</v>
      </c>
      <c r="F45" s="65">
        <v>310000</v>
      </c>
      <c r="G45" s="46">
        <f t="shared" si="0"/>
        <v>301750</v>
      </c>
    </row>
    <row r="46" spans="1:7" x14ac:dyDescent="0.3">
      <c r="A46" s="3">
        <v>34</v>
      </c>
      <c r="B46" s="4" t="s">
        <v>436</v>
      </c>
      <c r="C46" s="4" t="s">
        <v>437</v>
      </c>
      <c r="D46" s="3" t="s">
        <v>6</v>
      </c>
      <c r="E46" s="63">
        <v>245000</v>
      </c>
      <c r="F46" s="65">
        <v>210000</v>
      </c>
      <c r="G46" s="46">
        <f t="shared" si="0"/>
        <v>208250</v>
      </c>
    </row>
    <row r="47" spans="1:7" x14ac:dyDescent="0.3">
      <c r="A47" s="3">
        <v>35</v>
      </c>
      <c r="B47" s="4" t="s">
        <v>438</v>
      </c>
      <c r="C47" s="4" t="s">
        <v>439</v>
      </c>
      <c r="D47" s="3" t="s">
        <v>6</v>
      </c>
      <c r="E47" s="63">
        <v>255000</v>
      </c>
      <c r="F47" s="65">
        <v>220000</v>
      </c>
      <c r="G47" s="46">
        <f t="shared" si="0"/>
        <v>216750</v>
      </c>
    </row>
    <row r="48" spans="1:7" x14ac:dyDescent="0.3">
      <c r="A48" s="3">
        <v>36</v>
      </c>
      <c r="B48" s="4" t="s">
        <v>440</v>
      </c>
      <c r="C48" s="4" t="s">
        <v>441</v>
      </c>
      <c r="D48" s="3" t="s">
        <v>6</v>
      </c>
      <c r="E48" s="63">
        <v>265000</v>
      </c>
      <c r="F48" s="65">
        <v>230000</v>
      </c>
      <c r="G48" s="46">
        <f t="shared" si="0"/>
        <v>225250</v>
      </c>
    </row>
    <row r="49" spans="1:7" x14ac:dyDescent="0.3">
      <c r="A49" s="3">
        <v>37</v>
      </c>
      <c r="B49" s="4" t="s">
        <v>442</v>
      </c>
      <c r="C49" s="4" t="s">
        <v>443</v>
      </c>
      <c r="D49" s="3" t="s">
        <v>6</v>
      </c>
      <c r="E49" s="63">
        <v>285000</v>
      </c>
      <c r="F49" s="65">
        <v>250000</v>
      </c>
      <c r="G49" s="46">
        <f t="shared" si="0"/>
        <v>242250</v>
      </c>
    </row>
    <row r="50" spans="1:7" x14ac:dyDescent="0.3">
      <c r="A50" s="3">
        <v>38</v>
      </c>
      <c r="B50" s="4" t="s">
        <v>444</v>
      </c>
      <c r="C50" s="4" t="s">
        <v>445</v>
      </c>
      <c r="D50" s="3" t="s">
        <v>6</v>
      </c>
      <c r="E50" s="63">
        <v>315000</v>
      </c>
      <c r="F50" s="65">
        <v>280000</v>
      </c>
      <c r="G50" s="46">
        <f t="shared" si="0"/>
        <v>267750</v>
      </c>
    </row>
    <row r="51" spans="1:7" x14ac:dyDescent="0.3">
      <c r="A51" s="3">
        <v>39</v>
      </c>
      <c r="B51" s="4" t="s">
        <v>446</v>
      </c>
      <c r="C51" s="4" t="s">
        <v>447</v>
      </c>
      <c r="D51" s="3" t="s">
        <v>6</v>
      </c>
      <c r="E51" s="63">
        <v>375000</v>
      </c>
      <c r="F51" s="65">
        <v>330000</v>
      </c>
      <c r="G51" s="46">
        <f t="shared" si="0"/>
        <v>318750</v>
      </c>
    </row>
    <row r="52" spans="1:7" ht="18.75" customHeight="1" x14ac:dyDescent="0.3">
      <c r="A52" s="3">
        <v>40</v>
      </c>
      <c r="B52" s="4" t="s">
        <v>448</v>
      </c>
      <c r="C52" s="4" t="s">
        <v>449</v>
      </c>
      <c r="D52" s="3" t="s">
        <v>6</v>
      </c>
      <c r="E52" s="63">
        <v>265000</v>
      </c>
      <c r="F52" s="65">
        <v>230000</v>
      </c>
      <c r="G52" s="46">
        <f t="shared" si="0"/>
        <v>225250</v>
      </c>
    </row>
    <row r="53" spans="1:7" x14ac:dyDescent="0.3">
      <c r="A53" s="3">
        <v>41</v>
      </c>
      <c r="B53" s="4" t="s">
        <v>450</v>
      </c>
      <c r="C53" s="4" t="s">
        <v>451</v>
      </c>
      <c r="D53" s="3" t="s">
        <v>6</v>
      </c>
      <c r="E53" s="63">
        <v>275000</v>
      </c>
      <c r="F53" s="65">
        <v>240000</v>
      </c>
      <c r="G53" s="46">
        <f t="shared" si="0"/>
        <v>233750</v>
      </c>
    </row>
    <row r="54" spans="1:7" x14ac:dyDescent="0.3">
      <c r="A54" s="3">
        <v>42</v>
      </c>
      <c r="B54" s="4" t="s">
        <v>452</v>
      </c>
      <c r="C54" s="4" t="s">
        <v>453</v>
      </c>
      <c r="D54" s="3" t="s">
        <v>6</v>
      </c>
      <c r="E54" s="63">
        <v>285000</v>
      </c>
      <c r="F54" s="65">
        <v>250000</v>
      </c>
      <c r="G54" s="46">
        <f t="shared" si="0"/>
        <v>242250</v>
      </c>
    </row>
    <row r="55" spans="1:7" x14ac:dyDescent="0.3">
      <c r="A55" s="3">
        <v>43</v>
      </c>
      <c r="B55" s="4" t="s">
        <v>454</v>
      </c>
      <c r="C55" s="4" t="s">
        <v>455</v>
      </c>
      <c r="D55" s="3" t="s">
        <v>6</v>
      </c>
      <c r="E55" s="63">
        <v>305000</v>
      </c>
      <c r="F55" s="65">
        <v>270000</v>
      </c>
      <c r="G55" s="46">
        <f t="shared" si="0"/>
        <v>259250</v>
      </c>
    </row>
    <row r="56" spans="1:7" x14ac:dyDescent="0.3">
      <c r="A56" s="3">
        <v>44</v>
      </c>
      <c r="B56" s="4" t="s">
        <v>456</v>
      </c>
      <c r="C56" s="4" t="s">
        <v>457</v>
      </c>
      <c r="D56" s="3" t="s">
        <v>6</v>
      </c>
      <c r="E56" s="63">
        <v>335000</v>
      </c>
      <c r="F56" s="65">
        <v>300000</v>
      </c>
      <c r="G56" s="46">
        <f t="shared" si="0"/>
        <v>284750</v>
      </c>
    </row>
    <row r="57" spans="1:7" x14ac:dyDescent="0.3">
      <c r="A57" s="3">
        <v>45</v>
      </c>
      <c r="B57" s="4" t="s">
        <v>458</v>
      </c>
      <c r="C57" s="4" t="s">
        <v>459</v>
      </c>
      <c r="D57" s="3" t="s">
        <v>6</v>
      </c>
      <c r="E57" s="63">
        <v>395000</v>
      </c>
      <c r="F57" s="65">
        <v>350000</v>
      </c>
      <c r="G57" s="46">
        <f t="shared" si="0"/>
        <v>335750</v>
      </c>
    </row>
    <row r="58" spans="1:7" ht="18.75" customHeight="1" x14ac:dyDescent="0.3">
      <c r="A58" s="128" t="s">
        <v>460</v>
      </c>
      <c r="B58" s="129"/>
      <c r="C58" s="129"/>
      <c r="D58" s="129"/>
      <c r="E58" s="129"/>
      <c r="F58" s="65"/>
      <c r="G58" s="46">
        <f t="shared" si="0"/>
        <v>0</v>
      </c>
    </row>
    <row r="59" spans="1:7" x14ac:dyDescent="0.3">
      <c r="A59" s="3">
        <v>46</v>
      </c>
      <c r="B59" s="4" t="s">
        <v>461</v>
      </c>
      <c r="C59" s="4" t="s">
        <v>462</v>
      </c>
      <c r="D59" s="3" t="s">
        <v>6</v>
      </c>
      <c r="E59" s="62">
        <v>400000</v>
      </c>
      <c r="F59" s="65">
        <v>350000</v>
      </c>
      <c r="G59" s="46">
        <f t="shared" si="0"/>
        <v>340000</v>
      </c>
    </row>
    <row r="60" spans="1:7" x14ac:dyDescent="0.3">
      <c r="A60" s="3">
        <v>47</v>
      </c>
      <c r="B60" s="4" t="s">
        <v>463</v>
      </c>
      <c r="C60" s="4" t="s">
        <v>464</v>
      </c>
      <c r="D60" s="3" t="s">
        <v>6</v>
      </c>
      <c r="E60" s="62">
        <v>420000</v>
      </c>
      <c r="F60" s="65">
        <v>370000</v>
      </c>
      <c r="G60" s="46">
        <f t="shared" si="0"/>
        <v>357000</v>
      </c>
    </row>
    <row r="61" spans="1:7" x14ac:dyDescent="0.3">
      <c r="A61" s="3">
        <v>48</v>
      </c>
      <c r="B61" s="4" t="s">
        <v>465</v>
      </c>
      <c r="C61" s="4" t="s">
        <v>466</v>
      </c>
      <c r="D61" s="3" t="s">
        <v>6</v>
      </c>
      <c r="E61" s="62">
        <v>460000</v>
      </c>
      <c r="F61" s="65">
        <v>410000</v>
      </c>
      <c r="G61" s="46">
        <f t="shared" si="0"/>
        <v>391000</v>
      </c>
    </row>
    <row r="62" spans="1:7" x14ac:dyDescent="0.3">
      <c r="A62" s="3">
        <v>49</v>
      </c>
      <c r="B62" s="4" t="s">
        <v>467</v>
      </c>
      <c r="C62" s="4" t="s">
        <v>468</v>
      </c>
      <c r="D62" s="3" t="s">
        <v>6</v>
      </c>
      <c r="E62" s="62">
        <v>510000</v>
      </c>
      <c r="F62" s="65">
        <v>460000</v>
      </c>
      <c r="G62" s="46">
        <f t="shared" si="0"/>
        <v>433500</v>
      </c>
    </row>
    <row r="63" spans="1:7" ht="18.75" customHeight="1" x14ac:dyDescent="0.3">
      <c r="A63" s="3">
        <v>50</v>
      </c>
      <c r="B63" s="4" t="s">
        <v>469</v>
      </c>
      <c r="C63" s="4" t="s">
        <v>470</v>
      </c>
      <c r="D63" s="3" t="s">
        <v>6</v>
      </c>
      <c r="E63" s="62">
        <v>530000</v>
      </c>
      <c r="F63" s="65">
        <v>480000</v>
      </c>
      <c r="G63" s="46">
        <f t="shared" si="0"/>
        <v>450500</v>
      </c>
    </row>
    <row r="64" spans="1:7" x14ac:dyDescent="0.3">
      <c r="A64" s="128" t="s">
        <v>471</v>
      </c>
      <c r="B64" s="129"/>
      <c r="C64" s="129"/>
      <c r="D64" s="129"/>
      <c r="E64" s="129"/>
      <c r="F64" s="65"/>
      <c r="G64" s="46">
        <f t="shared" si="0"/>
        <v>0</v>
      </c>
    </row>
    <row r="65" spans="1:7" x14ac:dyDescent="0.3">
      <c r="A65" s="3">
        <v>51</v>
      </c>
      <c r="B65" s="4" t="s">
        <v>472</v>
      </c>
      <c r="C65" s="4" t="s">
        <v>473</v>
      </c>
      <c r="D65" s="3" t="s">
        <v>6</v>
      </c>
      <c r="E65" s="62">
        <v>60000</v>
      </c>
      <c r="F65" s="65">
        <v>52000</v>
      </c>
      <c r="G65" s="46">
        <f t="shared" si="0"/>
        <v>51000</v>
      </c>
    </row>
    <row r="66" spans="1:7" x14ac:dyDescent="0.3">
      <c r="A66" s="3">
        <v>52</v>
      </c>
      <c r="B66" s="4" t="s">
        <v>474</v>
      </c>
      <c r="C66" s="4" t="s">
        <v>475</v>
      </c>
      <c r="D66" s="3" t="s">
        <v>6</v>
      </c>
      <c r="E66" s="62">
        <v>55000</v>
      </c>
      <c r="F66" s="65">
        <v>46000</v>
      </c>
      <c r="G66" s="46">
        <f t="shared" si="0"/>
        <v>46750</v>
      </c>
    </row>
    <row r="67" spans="1:7" x14ac:dyDescent="0.3">
      <c r="A67" s="3">
        <v>53</v>
      </c>
      <c r="B67" s="4" t="s">
        <v>476</v>
      </c>
      <c r="C67" s="4" t="s">
        <v>477</v>
      </c>
      <c r="D67" s="3" t="s">
        <v>6</v>
      </c>
      <c r="E67" s="62">
        <v>50000</v>
      </c>
      <c r="F67" s="65">
        <v>42000</v>
      </c>
      <c r="G67" s="46">
        <f t="shared" si="0"/>
        <v>42500</v>
      </c>
    </row>
    <row r="68" spans="1:7" x14ac:dyDescent="0.3">
      <c r="A68" s="3">
        <v>54</v>
      </c>
      <c r="B68" s="4" t="s">
        <v>478</v>
      </c>
      <c r="C68" s="4" t="s">
        <v>479</v>
      </c>
      <c r="D68" s="3" t="s">
        <v>6</v>
      </c>
      <c r="E68" s="62">
        <v>80000</v>
      </c>
      <c r="F68" s="65">
        <v>65000</v>
      </c>
      <c r="G68" s="46">
        <f t="shared" si="0"/>
        <v>68000</v>
      </c>
    </row>
    <row r="69" spans="1:7" x14ac:dyDescent="0.3">
      <c r="E69" s="43"/>
    </row>
    <row r="70" spans="1:7" s="1" customFormat="1" ht="15.6" x14ac:dyDescent="0.3">
      <c r="A70" s="95" t="s">
        <v>915</v>
      </c>
      <c r="B70" s="95"/>
      <c r="C70" s="95"/>
      <c r="D70" s="95"/>
      <c r="E70" s="95"/>
    </row>
    <row r="71" spans="1:7" s="1" customFormat="1" ht="15.6" x14ac:dyDescent="0.3">
      <c r="A71" s="95" t="s">
        <v>918</v>
      </c>
      <c r="B71" s="95"/>
      <c r="C71" s="95"/>
      <c r="D71" s="95"/>
      <c r="E71" s="95"/>
    </row>
    <row r="72" spans="1:7" s="1" customFormat="1" ht="15.6" x14ac:dyDescent="0.3">
      <c r="A72" s="95" t="s">
        <v>664</v>
      </c>
      <c r="B72" s="95"/>
      <c r="C72" s="95"/>
      <c r="D72" s="95"/>
      <c r="E72" s="95"/>
    </row>
    <row r="73" spans="1:7" x14ac:dyDescent="0.3">
      <c r="A73" s="127"/>
      <c r="B73" s="127"/>
      <c r="C73" s="127"/>
      <c r="D73" s="127"/>
      <c r="E73" s="127"/>
    </row>
    <row r="74" spans="1:7" x14ac:dyDescent="0.3">
      <c r="A74" s="127"/>
      <c r="B74" s="127"/>
      <c r="C74" s="127"/>
      <c r="D74" s="127"/>
      <c r="E74" s="127"/>
    </row>
    <row r="75" spans="1:7" x14ac:dyDescent="0.3">
      <c r="A75" s="127"/>
      <c r="B75" s="127"/>
      <c r="C75" s="127"/>
      <c r="D75" s="127"/>
      <c r="E75" s="127"/>
    </row>
    <row r="76" spans="1:7" x14ac:dyDescent="0.3">
      <c r="A76" s="127"/>
      <c r="B76" s="127"/>
      <c r="C76" s="127"/>
      <c r="D76" s="127"/>
      <c r="E76" s="127"/>
    </row>
    <row r="77" spans="1:7" x14ac:dyDescent="0.3">
      <c r="A77" s="127"/>
      <c r="B77" s="127"/>
      <c r="C77" s="127"/>
      <c r="D77" s="127"/>
      <c r="E77" s="127"/>
    </row>
    <row r="78" spans="1:7" x14ac:dyDescent="0.3">
      <c r="A78" s="127"/>
      <c r="B78" s="127"/>
      <c r="C78" s="127"/>
      <c r="D78" s="127"/>
      <c r="E78" s="127"/>
    </row>
    <row r="79" spans="1:7" x14ac:dyDescent="0.3">
      <c r="A79" s="127"/>
      <c r="B79" s="127"/>
      <c r="C79" s="127"/>
      <c r="D79" s="127"/>
      <c r="E79" s="127"/>
    </row>
    <row r="80" spans="1:7" x14ac:dyDescent="0.3">
      <c r="A80" s="127"/>
      <c r="B80" s="127"/>
      <c r="C80" s="127"/>
      <c r="D80" s="127"/>
      <c r="E80" s="127"/>
    </row>
    <row r="81" spans="1:5" x14ac:dyDescent="0.3">
      <c r="A81" s="127"/>
      <c r="B81" s="127"/>
      <c r="C81" s="127"/>
      <c r="D81" s="127"/>
      <c r="E81" s="127"/>
    </row>
    <row r="82" spans="1:5" x14ac:dyDescent="0.3">
      <c r="A82" s="127"/>
      <c r="B82" s="127"/>
      <c r="C82" s="127"/>
      <c r="D82" s="127"/>
      <c r="E82" s="127"/>
    </row>
    <row r="83" spans="1:5" x14ac:dyDescent="0.3">
      <c r="A83" s="127"/>
      <c r="B83" s="127"/>
      <c r="C83" s="127"/>
      <c r="D83" s="127"/>
      <c r="E83" s="127"/>
    </row>
    <row r="84" spans="1:5" x14ac:dyDescent="0.3">
      <c r="A84" s="127"/>
      <c r="B84" s="127"/>
      <c r="C84" s="127"/>
      <c r="D84" s="127"/>
      <c r="E84" s="127"/>
    </row>
    <row r="85" spans="1:5" x14ac:dyDescent="0.3">
      <c r="A85" s="127"/>
      <c r="B85" s="127"/>
      <c r="C85" s="127"/>
      <c r="D85" s="127"/>
      <c r="E85" s="127"/>
    </row>
    <row r="86" spans="1:5" x14ac:dyDescent="0.3">
      <c r="A86" s="127"/>
      <c r="B86" s="127"/>
      <c r="C86" s="127"/>
      <c r="D86" s="127"/>
      <c r="E86" s="127"/>
    </row>
    <row r="87" spans="1:5" x14ac:dyDescent="0.3">
      <c r="A87" s="127"/>
      <c r="B87" s="127"/>
      <c r="C87" s="127"/>
      <c r="D87" s="127"/>
      <c r="E87" s="127"/>
    </row>
    <row r="88" spans="1:5" x14ac:dyDescent="0.3">
      <c r="A88" s="127"/>
      <c r="B88" s="127"/>
      <c r="C88" s="127"/>
      <c r="D88" s="127"/>
      <c r="E88" s="127"/>
    </row>
    <row r="89" spans="1:5" x14ac:dyDescent="0.3">
      <c r="A89" s="127"/>
      <c r="B89" s="127"/>
      <c r="C89" s="127"/>
      <c r="D89" s="127"/>
      <c r="E89" s="127"/>
    </row>
    <row r="90" spans="1:5" x14ac:dyDescent="0.3">
      <c r="A90" s="127"/>
      <c r="B90" s="127"/>
      <c r="C90" s="127"/>
      <c r="D90" s="127"/>
      <c r="E90" s="127"/>
    </row>
    <row r="91" spans="1:5" x14ac:dyDescent="0.3">
      <c r="A91" s="127"/>
      <c r="B91" s="127"/>
      <c r="C91" s="127"/>
      <c r="D91" s="127"/>
      <c r="E91" s="127"/>
    </row>
    <row r="92" spans="1:5" x14ac:dyDescent="0.3">
      <c r="A92" s="127"/>
      <c r="B92" s="127"/>
      <c r="C92" s="127"/>
      <c r="D92" s="127"/>
      <c r="E92" s="127"/>
    </row>
    <row r="93" spans="1:5" x14ac:dyDescent="0.3">
      <c r="A93" s="127"/>
      <c r="B93" s="127"/>
      <c r="C93" s="127"/>
      <c r="D93" s="127"/>
      <c r="E93" s="127"/>
    </row>
    <row r="94" spans="1:5" x14ac:dyDescent="0.3">
      <c r="A94" s="127"/>
      <c r="B94" s="127"/>
      <c r="C94" s="127"/>
      <c r="D94" s="127"/>
      <c r="E94" s="127"/>
    </row>
    <row r="95" spans="1:5" x14ac:dyDescent="0.3">
      <c r="A95" s="127"/>
      <c r="B95" s="127"/>
      <c r="C95" s="127"/>
      <c r="D95" s="127"/>
      <c r="E95" s="127"/>
    </row>
    <row r="96" spans="1:5" x14ac:dyDescent="0.3">
      <c r="A96" s="127"/>
      <c r="B96" s="127"/>
      <c r="C96" s="127"/>
      <c r="D96" s="127"/>
      <c r="E96" s="127"/>
    </row>
    <row r="97" spans="1:5" x14ac:dyDescent="0.3">
      <c r="A97" s="127"/>
      <c r="B97" s="127"/>
      <c r="C97" s="127"/>
      <c r="D97" s="127"/>
      <c r="E97" s="127"/>
    </row>
    <row r="98" spans="1:5" x14ac:dyDescent="0.3">
      <c r="A98" s="127"/>
      <c r="B98" s="127"/>
      <c r="C98" s="127"/>
      <c r="D98" s="127"/>
      <c r="E98" s="127"/>
    </row>
    <row r="99" spans="1:5" x14ac:dyDescent="0.3">
      <c r="A99" s="127"/>
      <c r="B99" s="127"/>
      <c r="C99" s="127"/>
      <c r="D99" s="127"/>
      <c r="E99" s="127"/>
    </row>
    <row r="100" spans="1:5" x14ac:dyDescent="0.3">
      <c r="A100" s="127"/>
      <c r="B100" s="127"/>
      <c r="C100" s="127"/>
      <c r="D100" s="127"/>
      <c r="E100" s="127"/>
    </row>
    <row r="101" spans="1:5" x14ac:dyDescent="0.3">
      <c r="A101" s="127"/>
      <c r="B101" s="127"/>
      <c r="C101" s="127"/>
      <c r="D101" s="127"/>
      <c r="E101" s="127"/>
    </row>
    <row r="102" spans="1:5" x14ac:dyDescent="0.3">
      <c r="A102" s="127"/>
      <c r="B102" s="127"/>
      <c r="C102" s="127"/>
      <c r="D102" s="127"/>
      <c r="E102" s="127"/>
    </row>
    <row r="103" spans="1:5" x14ac:dyDescent="0.3">
      <c r="A103" s="127"/>
      <c r="B103" s="127"/>
      <c r="C103" s="127"/>
      <c r="D103" s="127"/>
      <c r="E103" s="127"/>
    </row>
    <row r="104" spans="1:5" x14ac:dyDescent="0.3">
      <c r="A104" s="127"/>
      <c r="B104" s="127"/>
      <c r="C104" s="127"/>
      <c r="D104" s="127"/>
      <c r="E104" s="127"/>
    </row>
    <row r="105" spans="1:5" x14ac:dyDescent="0.3">
      <c r="A105" s="127"/>
      <c r="B105" s="127"/>
      <c r="C105" s="127"/>
      <c r="D105" s="127"/>
      <c r="E105" s="127"/>
    </row>
    <row r="106" spans="1:5" x14ac:dyDescent="0.3">
      <c r="A106" s="127"/>
      <c r="B106" s="127"/>
      <c r="C106" s="127"/>
      <c r="D106" s="127"/>
      <c r="E106" s="127"/>
    </row>
    <row r="107" spans="1:5" x14ac:dyDescent="0.3">
      <c r="A107" s="127"/>
      <c r="B107" s="127"/>
      <c r="C107" s="127"/>
      <c r="D107" s="127"/>
      <c r="E107" s="127"/>
    </row>
    <row r="108" spans="1:5" x14ac:dyDescent="0.3">
      <c r="A108" s="127"/>
      <c r="B108" s="127"/>
      <c r="C108" s="127"/>
      <c r="D108" s="127"/>
      <c r="E108" s="127"/>
    </row>
    <row r="109" spans="1:5" x14ac:dyDescent="0.3">
      <c r="A109" s="127"/>
      <c r="B109" s="127"/>
      <c r="C109" s="127"/>
      <c r="D109" s="127"/>
      <c r="E109" s="127"/>
    </row>
    <row r="110" spans="1:5" x14ac:dyDescent="0.3">
      <c r="A110" s="127"/>
      <c r="B110" s="127"/>
      <c r="C110" s="127"/>
      <c r="D110" s="127"/>
      <c r="E110" s="127"/>
    </row>
    <row r="111" spans="1:5" x14ac:dyDescent="0.3">
      <c r="A111" s="127"/>
      <c r="B111" s="127"/>
      <c r="C111" s="127"/>
      <c r="D111" s="127"/>
      <c r="E111" s="127"/>
    </row>
    <row r="112" spans="1:5" x14ac:dyDescent="0.3">
      <c r="A112" s="127"/>
      <c r="B112" s="127"/>
      <c r="C112" s="127"/>
      <c r="D112" s="127"/>
      <c r="E112" s="127"/>
    </row>
    <row r="113" spans="1:5" x14ac:dyDescent="0.3">
      <c r="A113" s="127"/>
      <c r="B113" s="127"/>
      <c r="C113" s="127"/>
      <c r="D113" s="127"/>
      <c r="E113" s="127"/>
    </row>
    <row r="114" spans="1:5" x14ac:dyDescent="0.3">
      <c r="A114" s="127"/>
      <c r="B114" s="127"/>
      <c r="C114" s="127"/>
      <c r="D114" s="127"/>
      <c r="E114" s="127"/>
    </row>
    <row r="115" spans="1:5" x14ac:dyDescent="0.3">
      <c r="A115" s="127"/>
      <c r="B115" s="127"/>
      <c r="C115" s="127"/>
      <c r="D115" s="127"/>
      <c r="E115" s="127"/>
    </row>
    <row r="116" spans="1:5" x14ac:dyDescent="0.3">
      <c r="A116" s="127"/>
      <c r="B116" s="127"/>
      <c r="C116" s="127"/>
      <c r="D116" s="127"/>
      <c r="E116" s="127"/>
    </row>
    <row r="117" spans="1:5" x14ac:dyDescent="0.3">
      <c r="A117" s="127"/>
      <c r="B117" s="127"/>
      <c r="C117" s="127"/>
      <c r="D117" s="127"/>
      <c r="E117" s="127"/>
    </row>
    <row r="118" spans="1:5" x14ac:dyDescent="0.3">
      <c r="A118" s="127"/>
      <c r="B118" s="127"/>
      <c r="C118" s="127"/>
      <c r="D118" s="127"/>
      <c r="E118" s="127"/>
    </row>
    <row r="119" spans="1:5" x14ac:dyDescent="0.3">
      <c r="A119" s="127"/>
      <c r="B119" s="127"/>
      <c r="C119" s="127"/>
      <c r="D119" s="127"/>
      <c r="E119" s="127"/>
    </row>
    <row r="120" spans="1:5" x14ac:dyDescent="0.3">
      <c r="A120" s="127"/>
      <c r="B120" s="127"/>
      <c r="C120" s="127"/>
      <c r="D120" s="127"/>
      <c r="E120" s="127"/>
    </row>
    <row r="121" spans="1:5" x14ac:dyDescent="0.3">
      <c r="A121" s="127"/>
      <c r="B121" s="127"/>
      <c r="C121" s="127"/>
      <c r="D121" s="127"/>
      <c r="E121" s="127"/>
    </row>
    <row r="122" spans="1:5" x14ac:dyDescent="0.3">
      <c r="A122" s="127"/>
      <c r="B122" s="127"/>
      <c r="C122" s="127"/>
      <c r="D122" s="127"/>
      <c r="E122" s="127"/>
    </row>
    <row r="123" spans="1:5" x14ac:dyDescent="0.3">
      <c r="A123" s="127"/>
      <c r="B123" s="127"/>
      <c r="C123" s="127"/>
      <c r="D123" s="127"/>
      <c r="E123" s="127"/>
    </row>
    <row r="124" spans="1:5" x14ac:dyDescent="0.3">
      <c r="A124" s="127"/>
      <c r="B124" s="127"/>
      <c r="C124" s="127"/>
      <c r="D124" s="127"/>
      <c r="E124" s="127"/>
    </row>
    <row r="125" spans="1:5" x14ac:dyDescent="0.3">
      <c r="A125" s="127"/>
      <c r="B125" s="127"/>
      <c r="C125" s="127"/>
      <c r="D125" s="127"/>
      <c r="E125" s="127"/>
    </row>
    <row r="126" spans="1:5" x14ac:dyDescent="0.3">
      <c r="A126" s="127"/>
      <c r="B126" s="127"/>
      <c r="C126" s="127"/>
      <c r="D126" s="127"/>
      <c r="E126" s="127"/>
    </row>
    <row r="127" spans="1:5" x14ac:dyDescent="0.3">
      <c r="A127" s="127"/>
      <c r="B127" s="127"/>
      <c r="C127" s="127"/>
      <c r="D127" s="127"/>
      <c r="E127" s="127"/>
    </row>
    <row r="128" spans="1:5" x14ac:dyDescent="0.3">
      <c r="A128" s="127"/>
      <c r="B128" s="127"/>
      <c r="C128" s="127"/>
      <c r="D128" s="127"/>
      <c r="E128" s="127"/>
    </row>
    <row r="129" spans="1:5" x14ac:dyDescent="0.3">
      <c r="A129" s="127"/>
      <c r="B129" s="127"/>
      <c r="C129" s="127"/>
      <c r="D129" s="127"/>
      <c r="E129" s="127"/>
    </row>
    <row r="130" spans="1:5" x14ac:dyDescent="0.3">
      <c r="A130" s="127"/>
      <c r="B130" s="127"/>
      <c r="C130" s="127"/>
      <c r="D130" s="127"/>
      <c r="E130" s="127"/>
    </row>
    <row r="131" spans="1:5" x14ac:dyDescent="0.3">
      <c r="A131" s="127"/>
      <c r="B131" s="127"/>
      <c r="C131" s="127"/>
      <c r="D131" s="127"/>
      <c r="E131" s="127"/>
    </row>
    <row r="132" spans="1:5" x14ac:dyDescent="0.3">
      <c r="A132" s="127"/>
      <c r="B132" s="127"/>
      <c r="C132" s="127"/>
      <c r="D132" s="127"/>
      <c r="E132" s="127"/>
    </row>
    <row r="133" spans="1:5" x14ac:dyDescent="0.3">
      <c r="A133" s="127"/>
      <c r="B133" s="127"/>
      <c r="C133" s="127"/>
      <c r="D133" s="127"/>
      <c r="E133" s="127"/>
    </row>
    <row r="134" spans="1:5" x14ac:dyDescent="0.3">
      <c r="A134" s="127"/>
      <c r="B134" s="127"/>
      <c r="C134" s="127"/>
      <c r="D134" s="127"/>
      <c r="E134" s="127"/>
    </row>
    <row r="135" spans="1:5" x14ac:dyDescent="0.3">
      <c r="A135" s="127"/>
      <c r="B135" s="127"/>
      <c r="C135" s="127"/>
      <c r="D135" s="127"/>
      <c r="E135" s="127"/>
    </row>
    <row r="136" spans="1:5" x14ac:dyDescent="0.3">
      <c r="A136" s="127"/>
      <c r="B136" s="127"/>
      <c r="C136" s="127"/>
      <c r="D136" s="127"/>
      <c r="E136" s="127"/>
    </row>
    <row r="137" spans="1:5" x14ac:dyDescent="0.3">
      <c r="A137" s="127"/>
      <c r="B137" s="127"/>
      <c r="C137" s="127"/>
      <c r="D137" s="127"/>
      <c r="E137" s="127"/>
    </row>
    <row r="138" spans="1:5" x14ac:dyDescent="0.3">
      <c r="A138" s="127"/>
      <c r="B138" s="127"/>
      <c r="C138" s="127"/>
      <c r="D138" s="127"/>
      <c r="E138" s="127"/>
    </row>
    <row r="139" spans="1:5" x14ac:dyDescent="0.3">
      <c r="A139" s="127"/>
      <c r="B139" s="127"/>
      <c r="C139" s="127"/>
      <c r="D139" s="127"/>
      <c r="E139" s="127"/>
    </row>
    <row r="140" spans="1:5" x14ac:dyDescent="0.3">
      <c r="A140" s="127"/>
      <c r="B140" s="127"/>
      <c r="C140" s="127"/>
      <c r="D140" s="127"/>
      <c r="E140" s="127"/>
    </row>
    <row r="141" spans="1:5" x14ac:dyDescent="0.3">
      <c r="A141" s="127"/>
      <c r="B141" s="127"/>
      <c r="C141" s="127"/>
      <c r="D141" s="127"/>
      <c r="E141" s="127"/>
    </row>
    <row r="142" spans="1:5" x14ac:dyDescent="0.3">
      <c r="A142" s="127"/>
      <c r="B142" s="127"/>
      <c r="C142" s="127"/>
      <c r="D142" s="127"/>
      <c r="E142" s="127"/>
    </row>
    <row r="143" spans="1:5" x14ac:dyDescent="0.3">
      <c r="A143" s="127"/>
      <c r="B143" s="127"/>
      <c r="C143" s="127"/>
      <c r="D143" s="127"/>
      <c r="E143" s="127"/>
    </row>
    <row r="144" spans="1:5" x14ac:dyDescent="0.3">
      <c r="A144" s="127"/>
      <c r="B144" s="127"/>
      <c r="C144" s="127"/>
      <c r="D144" s="127"/>
      <c r="E144" s="127"/>
    </row>
    <row r="145" spans="1:5" x14ac:dyDescent="0.3">
      <c r="A145" s="127"/>
      <c r="B145" s="127"/>
      <c r="C145" s="127"/>
      <c r="D145" s="127"/>
      <c r="E145" s="127"/>
    </row>
    <row r="146" spans="1:5" x14ac:dyDescent="0.3">
      <c r="A146" s="127"/>
      <c r="B146" s="127"/>
      <c r="C146" s="127"/>
      <c r="D146" s="127"/>
      <c r="E146" s="127"/>
    </row>
    <row r="147" spans="1:5" x14ac:dyDescent="0.3">
      <c r="A147" s="127"/>
      <c r="B147" s="127"/>
      <c r="C147" s="127"/>
      <c r="D147" s="127"/>
      <c r="E147" s="127"/>
    </row>
    <row r="148" spans="1:5" x14ac:dyDescent="0.3">
      <c r="A148" s="127"/>
      <c r="B148" s="127"/>
      <c r="C148" s="127"/>
      <c r="D148" s="127"/>
      <c r="E148" s="127"/>
    </row>
    <row r="149" spans="1:5" x14ac:dyDescent="0.3">
      <c r="A149" s="127"/>
      <c r="B149" s="127"/>
      <c r="C149" s="127"/>
      <c r="D149" s="127"/>
      <c r="E149" s="127"/>
    </row>
    <row r="150" spans="1:5" x14ac:dyDescent="0.3">
      <c r="A150" s="127"/>
      <c r="B150" s="127"/>
      <c r="C150" s="127"/>
      <c r="D150" s="127"/>
      <c r="E150" s="127"/>
    </row>
    <row r="151" spans="1:5" x14ac:dyDescent="0.3">
      <c r="A151" s="127"/>
      <c r="B151" s="127"/>
      <c r="C151" s="127"/>
      <c r="D151" s="127"/>
      <c r="E151" s="127"/>
    </row>
    <row r="152" spans="1:5" x14ac:dyDescent="0.3">
      <c r="A152" s="127"/>
      <c r="B152" s="127"/>
      <c r="C152" s="127"/>
      <c r="D152" s="127"/>
      <c r="E152" s="127"/>
    </row>
    <row r="153" spans="1:5" x14ac:dyDescent="0.3">
      <c r="A153" s="127"/>
      <c r="B153" s="127"/>
      <c r="C153" s="127"/>
      <c r="D153" s="127"/>
      <c r="E153" s="127"/>
    </row>
    <row r="154" spans="1:5" x14ac:dyDescent="0.3">
      <c r="A154" s="127"/>
      <c r="B154" s="127"/>
      <c r="C154" s="127"/>
      <c r="D154" s="127"/>
      <c r="E154" s="127"/>
    </row>
    <row r="155" spans="1:5" x14ac:dyDescent="0.3">
      <c r="A155" s="127"/>
      <c r="B155" s="127"/>
      <c r="C155" s="127"/>
      <c r="D155" s="127"/>
      <c r="E155" s="127"/>
    </row>
    <row r="156" spans="1:5" x14ac:dyDescent="0.3">
      <c r="A156" s="127"/>
      <c r="B156" s="127"/>
      <c r="C156" s="127"/>
      <c r="D156" s="127"/>
      <c r="E156" s="127"/>
    </row>
    <row r="157" spans="1:5" x14ac:dyDescent="0.3">
      <c r="A157" s="127"/>
      <c r="B157" s="127"/>
      <c r="C157" s="127"/>
      <c r="D157" s="127"/>
      <c r="E157" s="127"/>
    </row>
    <row r="158" spans="1:5" x14ac:dyDescent="0.3">
      <c r="A158" s="127"/>
      <c r="B158" s="127"/>
      <c r="C158" s="127"/>
      <c r="D158" s="127"/>
      <c r="E158" s="127"/>
    </row>
    <row r="159" spans="1:5" x14ac:dyDescent="0.3">
      <c r="A159" s="127"/>
      <c r="B159" s="127"/>
      <c r="C159" s="127"/>
      <c r="D159" s="127"/>
      <c r="E159" s="127"/>
    </row>
    <row r="160" spans="1:5" x14ac:dyDescent="0.3">
      <c r="A160" s="127"/>
      <c r="B160" s="127"/>
      <c r="C160" s="127"/>
      <c r="D160" s="127"/>
      <c r="E160" s="127"/>
    </row>
    <row r="161" spans="1:5" x14ac:dyDescent="0.3">
      <c r="A161" s="127"/>
      <c r="B161" s="127"/>
      <c r="C161" s="127"/>
      <c r="D161" s="127"/>
      <c r="E161" s="127"/>
    </row>
    <row r="162" spans="1:5" x14ac:dyDescent="0.3">
      <c r="A162" s="127"/>
      <c r="B162" s="127"/>
      <c r="C162" s="127"/>
      <c r="D162" s="127"/>
      <c r="E162" s="127"/>
    </row>
    <row r="163" spans="1:5" x14ac:dyDescent="0.3">
      <c r="A163" s="127"/>
      <c r="B163" s="127"/>
      <c r="C163" s="127"/>
      <c r="D163" s="127"/>
      <c r="E163" s="127"/>
    </row>
    <row r="164" spans="1:5" x14ac:dyDescent="0.3">
      <c r="A164" s="127"/>
      <c r="B164" s="127"/>
      <c r="C164" s="127"/>
      <c r="D164" s="127"/>
      <c r="E164" s="127"/>
    </row>
    <row r="165" spans="1:5" x14ac:dyDescent="0.3">
      <c r="A165" s="127"/>
      <c r="B165" s="127"/>
      <c r="C165" s="127"/>
      <c r="D165" s="127"/>
      <c r="E165" s="127"/>
    </row>
    <row r="166" spans="1:5" x14ac:dyDescent="0.3">
      <c r="A166" s="127"/>
      <c r="B166" s="127"/>
      <c r="C166" s="127"/>
      <c r="D166" s="127"/>
      <c r="E166" s="127"/>
    </row>
    <row r="167" spans="1:5" x14ac:dyDescent="0.3">
      <c r="A167" s="127"/>
      <c r="B167" s="127"/>
      <c r="C167" s="127"/>
      <c r="D167" s="127"/>
      <c r="E167" s="127"/>
    </row>
    <row r="168" spans="1:5" x14ac:dyDescent="0.3">
      <c r="A168" s="127"/>
      <c r="B168" s="127"/>
      <c r="C168" s="127"/>
      <c r="D168" s="127"/>
      <c r="E168" s="127"/>
    </row>
    <row r="169" spans="1:5" x14ac:dyDescent="0.3">
      <c r="A169" s="127"/>
      <c r="B169" s="127"/>
      <c r="C169" s="127"/>
      <c r="D169" s="127"/>
      <c r="E169" s="127"/>
    </row>
    <row r="170" spans="1:5" x14ac:dyDescent="0.3">
      <c r="A170" s="127"/>
      <c r="B170" s="127"/>
      <c r="C170" s="127"/>
      <c r="D170" s="127"/>
      <c r="E170" s="127"/>
    </row>
    <row r="171" spans="1:5" x14ac:dyDescent="0.3">
      <c r="A171" s="127"/>
      <c r="B171" s="127"/>
      <c r="C171" s="127"/>
      <c r="D171" s="127"/>
      <c r="E171" s="127"/>
    </row>
    <row r="172" spans="1:5" x14ac:dyDescent="0.3">
      <c r="A172" s="127"/>
      <c r="B172" s="127"/>
      <c r="C172" s="127"/>
      <c r="D172" s="127"/>
      <c r="E172" s="127"/>
    </row>
    <row r="173" spans="1:5" x14ac:dyDescent="0.3">
      <c r="A173" s="127"/>
      <c r="B173" s="127"/>
      <c r="C173" s="127"/>
      <c r="D173" s="127"/>
      <c r="E173" s="127"/>
    </row>
    <row r="174" spans="1:5" x14ac:dyDescent="0.3">
      <c r="A174" s="127"/>
      <c r="B174" s="127"/>
      <c r="C174" s="127"/>
      <c r="D174" s="127"/>
      <c r="E174" s="127"/>
    </row>
    <row r="175" spans="1:5" x14ac:dyDescent="0.3">
      <c r="A175" s="127"/>
      <c r="B175" s="127"/>
      <c r="C175" s="127"/>
      <c r="D175" s="127"/>
      <c r="E175" s="127"/>
    </row>
    <row r="176" spans="1:5" x14ac:dyDescent="0.3">
      <c r="A176" s="127"/>
      <c r="B176" s="127"/>
      <c r="C176" s="127"/>
      <c r="D176" s="127"/>
      <c r="E176" s="127"/>
    </row>
    <row r="177" spans="1:5" x14ac:dyDescent="0.3">
      <c r="A177" s="127"/>
      <c r="B177" s="127"/>
      <c r="C177" s="127"/>
      <c r="D177" s="127"/>
      <c r="E177" s="127"/>
    </row>
    <row r="178" spans="1:5" x14ac:dyDescent="0.3">
      <c r="A178" s="127"/>
      <c r="B178" s="127"/>
      <c r="C178" s="127"/>
      <c r="D178" s="127"/>
      <c r="E178" s="127"/>
    </row>
    <row r="179" spans="1:5" x14ac:dyDescent="0.3">
      <c r="A179" s="127"/>
      <c r="B179" s="127"/>
      <c r="C179" s="127"/>
      <c r="D179" s="127"/>
      <c r="E179" s="127"/>
    </row>
    <row r="180" spans="1:5" x14ac:dyDescent="0.3">
      <c r="A180" s="127"/>
      <c r="B180" s="127"/>
      <c r="C180" s="127"/>
      <c r="D180" s="127"/>
      <c r="E180" s="127"/>
    </row>
    <row r="181" spans="1:5" x14ac:dyDescent="0.3">
      <c r="A181" s="127"/>
      <c r="B181" s="127"/>
      <c r="C181" s="127"/>
      <c r="D181" s="127"/>
      <c r="E181" s="127"/>
    </row>
    <row r="182" spans="1:5" x14ac:dyDescent="0.3">
      <c r="A182" s="127"/>
      <c r="B182" s="127"/>
      <c r="C182" s="127"/>
      <c r="D182" s="127"/>
      <c r="E182" s="127"/>
    </row>
    <row r="183" spans="1:5" x14ac:dyDescent="0.3">
      <c r="A183" s="127"/>
      <c r="B183" s="127"/>
      <c r="C183" s="127"/>
      <c r="D183" s="127"/>
      <c r="E183" s="127"/>
    </row>
    <row r="184" spans="1:5" x14ac:dyDescent="0.3">
      <c r="A184" s="127"/>
      <c r="B184" s="127"/>
      <c r="C184" s="127"/>
      <c r="D184" s="127"/>
      <c r="E184" s="127"/>
    </row>
    <row r="185" spans="1:5" x14ac:dyDescent="0.3">
      <c r="A185" s="127"/>
      <c r="B185" s="127"/>
      <c r="C185" s="127"/>
      <c r="D185" s="127"/>
      <c r="E185" s="127"/>
    </row>
    <row r="186" spans="1:5" x14ac:dyDescent="0.3">
      <c r="A186" s="127"/>
      <c r="B186" s="127"/>
      <c r="C186" s="127"/>
      <c r="D186" s="127"/>
      <c r="E186" s="127"/>
    </row>
    <row r="187" spans="1:5" x14ac:dyDescent="0.3">
      <c r="A187" s="127"/>
      <c r="B187" s="127"/>
      <c r="C187" s="127"/>
      <c r="D187" s="127"/>
      <c r="E187" s="127"/>
    </row>
    <row r="188" spans="1:5" x14ac:dyDescent="0.3">
      <c r="A188" s="127"/>
      <c r="B188" s="127"/>
      <c r="C188" s="127"/>
      <c r="D188" s="127"/>
      <c r="E188" s="127"/>
    </row>
    <row r="189" spans="1:5" x14ac:dyDescent="0.3">
      <c r="A189" s="127"/>
      <c r="B189" s="127"/>
      <c r="C189" s="127"/>
      <c r="D189" s="127"/>
      <c r="E189" s="127"/>
    </row>
    <row r="190" spans="1:5" x14ac:dyDescent="0.3">
      <c r="A190" s="127"/>
      <c r="B190" s="127"/>
      <c r="C190" s="127"/>
      <c r="D190" s="127"/>
      <c r="E190" s="127"/>
    </row>
    <row r="191" spans="1:5" x14ac:dyDescent="0.3">
      <c r="A191" s="127"/>
      <c r="B191" s="127"/>
      <c r="C191" s="127"/>
      <c r="D191" s="127"/>
      <c r="E191" s="127"/>
    </row>
    <row r="192" spans="1:5" x14ac:dyDescent="0.3">
      <c r="A192" s="127"/>
      <c r="B192" s="127"/>
      <c r="C192" s="127"/>
      <c r="D192" s="127"/>
      <c r="E192" s="127"/>
    </row>
    <row r="193" spans="1:5" x14ac:dyDescent="0.3">
      <c r="A193" s="127"/>
      <c r="B193" s="127"/>
      <c r="C193" s="127"/>
      <c r="D193" s="127"/>
      <c r="E193" s="127"/>
    </row>
    <row r="194" spans="1:5" x14ac:dyDescent="0.3">
      <c r="A194" s="127"/>
      <c r="B194" s="127"/>
      <c r="C194" s="127"/>
      <c r="D194" s="127"/>
      <c r="E194" s="127"/>
    </row>
    <row r="195" spans="1:5" x14ac:dyDescent="0.3">
      <c r="A195" s="127"/>
      <c r="B195" s="127"/>
      <c r="C195" s="127"/>
      <c r="D195" s="127"/>
      <c r="E195" s="127"/>
    </row>
    <row r="196" spans="1:5" x14ac:dyDescent="0.3">
      <c r="A196" s="127"/>
      <c r="B196" s="127"/>
      <c r="C196" s="127"/>
      <c r="D196" s="127"/>
      <c r="E196" s="127"/>
    </row>
    <row r="197" spans="1:5" x14ac:dyDescent="0.3">
      <c r="A197" s="127"/>
      <c r="B197" s="127"/>
      <c r="C197" s="127"/>
      <c r="D197" s="127"/>
      <c r="E197" s="127"/>
    </row>
    <row r="198" spans="1:5" x14ac:dyDescent="0.3">
      <c r="A198" s="127"/>
      <c r="B198" s="127"/>
      <c r="C198" s="127"/>
      <c r="D198" s="127"/>
      <c r="E198" s="127"/>
    </row>
    <row r="199" spans="1:5" x14ac:dyDescent="0.3">
      <c r="A199" s="127"/>
      <c r="B199" s="127"/>
      <c r="C199" s="127"/>
      <c r="D199" s="127"/>
      <c r="E199" s="127"/>
    </row>
    <row r="200" spans="1:5" x14ac:dyDescent="0.3">
      <c r="A200" s="127"/>
      <c r="B200" s="127"/>
      <c r="C200" s="127"/>
      <c r="D200" s="127"/>
      <c r="E200" s="127"/>
    </row>
    <row r="201" spans="1:5" x14ac:dyDescent="0.3">
      <c r="A201" s="127"/>
      <c r="B201" s="127"/>
      <c r="C201" s="127"/>
      <c r="D201" s="127"/>
      <c r="E201" s="127"/>
    </row>
    <row r="202" spans="1:5" x14ac:dyDescent="0.3">
      <c r="A202" s="127"/>
      <c r="B202" s="127"/>
      <c r="C202" s="127"/>
      <c r="D202" s="127"/>
      <c r="E202" s="127"/>
    </row>
    <row r="203" spans="1:5" x14ac:dyDescent="0.3">
      <c r="A203" s="127"/>
      <c r="B203" s="127"/>
      <c r="C203" s="127"/>
      <c r="D203" s="127"/>
      <c r="E203" s="127"/>
    </row>
    <row r="204" spans="1:5" x14ac:dyDescent="0.3">
      <c r="A204" s="127"/>
      <c r="B204" s="127"/>
      <c r="C204" s="127"/>
      <c r="D204" s="127"/>
      <c r="E204" s="127"/>
    </row>
    <row r="205" spans="1:5" x14ac:dyDescent="0.3">
      <c r="A205" s="127"/>
      <c r="B205" s="127"/>
      <c r="C205" s="127"/>
      <c r="D205" s="127"/>
      <c r="E205" s="127"/>
    </row>
    <row r="206" spans="1:5" x14ac:dyDescent="0.3">
      <c r="A206" s="127"/>
      <c r="B206" s="127"/>
      <c r="C206" s="127"/>
      <c r="D206" s="127"/>
      <c r="E206" s="127"/>
    </row>
    <row r="207" spans="1:5" x14ac:dyDescent="0.3">
      <c r="A207" s="127"/>
      <c r="B207" s="127"/>
      <c r="C207" s="127"/>
      <c r="D207" s="127"/>
      <c r="E207" s="127"/>
    </row>
    <row r="208" spans="1:5" x14ac:dyDescent="0.3">
      <c r="A208" s="127"/>
      <c r="B208" s="127"/>
      <c r="C208" s="127"/>
      <c r="D208" s="127"/>
      <c r="E208" s="127"/>
    </row>
  </sheetData>
  <mergeCells count="149">
    <mergeCell ref="A1:B5"/>
    <mergeCell ref="C1:E5"/>
    <mergeCell ref="A6:E6"/>
    <mergeCell ref="A7:E7"/>
    <mergeCell ref="A9:E9"/>
    <mergeCell ref="A28:E28"/>
    <mergeCell ref="A71:E71"/>
    <mergeCell ref="A72:E72"/>
    <mergeCell ref="A73:E73"/>
    <mergeCell ref="A74:E74"/>
    <mergeCell ref="A34:E34"/>
    <mergeCell ref="A39:E39"/>
    <mergeCell ref="A58:E58"/>
    <mergeCell ref="A64:E64"/>
    <mergeCell ref="A70:E70"/>
    <mergeCell ref="A81:E81"/>
    <mergeCell ref="A82:E82"/>
    <mergeCell ref="A83:E83"/>
    <mergeCell ref="A84:E84"/>
    <mergeCell ref="A85:E85"/>
    <mergeCell ref="A86:E86"/>
    <mergeCell ref="A75:E75"/>
    <mergeCell ref="A76:E76"/>
    <mergeCell ref="A77:E77"/>
    <mergeCell ref="A78:E78"/>
    <mergeCell ref="A79:E79"/>
    <mergeCell ref="A80:E80"/>
    <mergeCell ref="A93:E93"/>
    <mergeCell ref="A94:E94"/>
    <mergeCell ref="A95:E95"/>
    <mergeCell ref="A96:E96"/>
    <mergeCell ref="A97:E97"/>
    <mergeCell ref="A98:E98"/>
    <mergeCell ref="A87:E87"/>
    <mergeCell ref="A88:E88"/>
    <mergeCell ref="A89:E89"/>
    <mergeCell ref="A90:E90"/>
    <mergeCell ref="A91:E91"/>
    <mergeCell ref="A92:E92"/>
    <mergeCell ref="A105:E105"/>
    <mergeCell ref="A106:E106"/>
    <mergeCell ref="A107:E107"/>
    <mergeCell ref="A108:E108"/>
    <mergeCell ref="A109:E109"/>
    <mergeCell ref="A110:E110"/>
    <mergeCell ref="A99:E99"/>
    <mergeCell ref="A100:E100"/>
    <mergeCell ref="A101:E101"/>
    <mergeCell ref="A102:E102"/>
    <mergeCell ref="A103:E103"/>
    <mergeCell ref="A104:E104"/>
    <mergeCell ref="A117:E117"/>
    <mergeCell ref="A118:E118"/>
    <mergeCell ref="A119:E119"/>
    <mergeCell ref="A120:E120"/>
    <mergeCell ref="A121:E121"/>
    <mergeCell ref="A122:E122"/>
    <mergeCell ref="A111:E111"/>
    <mergeCell ref="A112:E112"/>
    <mergeCell ref="A113:E113"/>
    <mergeCell ref="A114:E114"/>
    <mergeCell ref="A115:E115"/>
    <mergeCell ref="A116:E116"/>
    <mergeCell ref="A129:E129"/>
    <mergeCell ref="A130:E130"/>
    <mergeCell ref="A131:E131"/>
    <mergeCell ref="A132:E132"/>
    <mergeCell ref="A133:E133"/>
    <mergeCell ref="A134:E134"/>
    <mergeCell ref="A123:E123"/>
    <mergeCell ref="A124:E124"/>
    <mergeCell ref="A125:E125"/>
    <mergeCell ref="A126:E126"/>
    <mergeCell ref="A127:E127"/>
    <mergeCell ref="A128:E128"/>
    <mergeCell ref="A141:E141"/>
    <mergeCell ref="A142:E142"/>
    <mergeCell ref="A143:E143"/>
    <mergeCell ref="A144:E144"/>
    <mergeCell ref="A145:E145"/>
    <mergeCell ref="A146:E146"/>
    <mergeCell ref="A135:E135"/>
    <mergeCell ref="A136:E136"/>
    <mergeCell ref="A137:E137"/>
    <mergeCell ref="A138:E138"/>
    <mergeCell ref="A139:E139"/>
    <mergeCell ref="A140:E140"/>
    <mergeCell ref="A153:E153"/>
    <mergeCell ref="A154:E154"/>
    <mergeCell ref="A155:E155"/>
    <mergeCell ref="A156:E156"/>
    <mergeCell ref="A157:E157"/>
    <mergeCell ref="A158:E158"/>
    <mergeCell ref="A147:E147"/>
    <mergeCell ref="A148:E148"/>
    <mergeCell ref="A149:E149"/>
    <mergeCell ref="A150:E150"/>
    <mergeCell ref="A151:E151"/>
    <mergeCell ref="A152:E152"/>
    <mergeCell ref="A165:E165"/>
    <mergeCell ref="A166:E166"/>
    <mergeCell ref="A167:E167"/>
    <mergeCell ref="A168:E168"/>
    <mergeCell ref="A169:E169"/>
    <mergeCell ref="A170:E170"/>
    <mergeCell ref="A159:E159"/>
    <mergeCell ref="A160:E160"/>
    <mergeCell ref="A161:E161"/>
    <mergeCell ref="A162:E162"/>
    <mergeCell ref="A163:E163"/>
    <mergeCell ref="A164:E164"/>
    <mergeCell ref="A177:E177"/>
    <mergeCell ref="A178:E178"/>
    <mergeCell ref="A179:E179"/>
    <mergeCell ref="A180:E180"/>
    <mergeCell ref="A181:E181"/>
    <mergeCell ref="A182:E182"/>
    <mergeCell ref="A171:E171"/>
    <mergeCell ref="A172:E172"/>
    <mergeCell ref="A173:E173"/>
    <mergeCell ref="A174:E174"/>
    <mergeCell ref="A175:E175"/>
    <mergeCell ref="A176:E176"/>
    <mergeCell ref="A189:E189"/>
    <mergeCell ref="A190:E190"/>
    <mergeCell ref="A191:E191"/>
    <mergeCell ref="A192:E192"/>
    <mergeCell ref="A193:E193"/>
    <mergeCell ref="A194:E194"/>
    <mergeCell ref="A183:E183"/>
    <mergeCell ref="A184:E184"/>
    <mergeCell ref="A185:E185"/>
    <mergeCell ref="A186:E186"/>
    <mergeCell ref="A187:E187"/>
    <mergeCell ref="A188:E188"/>
    <mergeCell ref="A207:E207"/>
    <mergeCell ref="A208:E208"/>
    <mergeCell ref="A201:E201"/>
    <mergeCell ref="A202:E202"/>
    <mergeCell ref="A203:E203"/>
    <mergeCell ref="A204:E204"/>
    <mergeCell ref="A205:E205"/>
    <mergeCell ref="A206:E206"/>
    <mergeCell ref="A195:E195"/>
    <mergeCell ref="A196:E196"/>
    <mergeCell ref="A197:E197"/>
    <mergeCell ref="A198:E198"/>
    <mergeCell ref="A199:E199"/>
    <mergeCell ref="A200:E20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0B45-381B-3E4B-ACF3-F9C3EFD801E7}">
  <dimension ref="A1:G301"/>
  <sheetViews>
    <sheetView topLeftCell="A110" workbookViewId="0">
      <selection activeCell="E121" sqref="E121:E122"/>
    </sheetView>
  </sheetViews>
  <sheetFormatPr defaultColWidth="10.33203125" defaultRowHeight="15.6" x14ac:dyDescent="0.3"/>
  <cols>
    <col min="1" max="1" width="6.33203125" style="1" customWidth="1"/>
    <col min="2" max="2" width="49.6640625" style="1" customWidth="1"/>
    <col min="3" max="3" width="19" style="1" customWidth="1"/>
    <col min="4" max="4" width="14" style="1" customWidth="1"/>
    <col min="5" max="5" width="24" style="7" customWidth="1"/>
    <col min="6" max="6" width="15" style="92" customWidth="1"/>
    <col min="7" max="7" width="10.33203125" style="1"/>
    <col min="8" max="8" width="42.6640625" style="1" customWidth="1"/>
    <col min="9" max="16384" width="10.33203125" style="1"/>
  </cols>
  <sheetData>
    <row r="1" spans="1:6" ht="15.75" customHeight="1" x14ac:dyDescent="0.3">
      <c r="A1" s="113"/>
      <c r="B1" s="114"/>
      <c r="C1" s="119" t="s">
        <v>602</v>
      </c>
      <c r="D1" s="120"/>
      <c r="E1" s="120"/>
      <c r="F1" s="86"/>
    </row>
    <row r="2" spans="1:6" ht="16.8" x14ac:dyDescent="0.3">
      <c r="A2" s="115"/>
      <c r="B2" s="116"/>
      <c r="C2" s="119"/>
      <c r="D2" s="120"/>
      <c r="E2" s="120"/>
      <c r="F2" s="86"/>
    </row>
    <row r="3" spans="1:6" ht="16.8" x14ac:dyDescent="0.3">
      <c r="A3" s="115"/>
      <c r="B3" s="116"/>
      <c r="C3" s="119"/>
      <c r="D3" s="120"/>
      <c r="E3" s="120"/>
      <c r="F3" s="86"/>
    </row>
    <row r="4" spans="1:6" ht="17.25" customHeight="1" x14ac:dyDescent="0.3">
      <c r="A4" s="115"/>
      <c r="B4" s="116"/>
      <c r="C4" s="119"/>
      <c r="D4" s="120"/>
      <c r="E4" s="120"/>
      <c r="F4" s="86"/>
    </row>
    <row r="5" spans="1:6" ht="48" customHeight="1" x14ac:dyDescent="0.3">
      <c r="A5" s="117"/>
      <c r="B5" s="118"/>
      <c r="C5" s="119"/>
      <c r="D5" s="120"/>
      <c r="E5" s="120"/>
      <c r="F5" s="86"/>
    </row>
    <row r="6" spans="1:6" ht="34.5" customHeight="1" x14ac:dyDescent="0.3">
      <c r="A6" s="121" t="s">
        <v>233</v>
      </c>
      <c r="B6" s="122"/>
      <c r="C6" s="122"/>
      <c r="D6" s="122"/>
      <c r="E6" s="122"/>
      <c r="F6" s="86"/>
    </row>
    <row r="7" spans="1:6" ht="28.5" customHeight="1" x14ac:dyDescent="0.3">
      <c r="A7" s="123" t="s">
        <v>668</v>
      </c>
      <c r="B7" s="124"/>
      <c r="C7" s="124"/>
      <c r="D7" s="124"/>
      <c r="E7" s="124"/>
      <c r="F7" s="86"/>
    </row>
    <row r="8" spans="1:6" ht="68.25" customHeight="1" x14ac:dyDescent="0.3">
      <c r="A8" s="77" t="s">
        <v>0</v>
      </c>
      <c r="B8" s="77" t="s">
        <v>1</v>
      </c>
      <c r="C8" s="77" t="s">
        <v>2</v>
      </c>
      <c r="D8" s="77" t="s">
        <v>3</v>
      </c>
      <c r="E8" s="78" t="s">
        <v>4</v>
      </c>
      <c r="F8" s="87" t="s">
        <v>297</v>
      </c>
    </row>
    <row r="9" spans="1:6" ht="18.75" customHeight="1" x14ac:dyDescent="0.3">
      <c r="A9" s="111" t="s">
        <v>70</v>
      </c>
      <c r="B9" s="112"/>
      <c r="C9" s="112"/>
      <c r="D9" s="112"/>
      <c r="E9" s="112"/>
      <c r="F9" s="88"/>
    </row>
    <row r="10" spans="1:6" ht="16.8" x14ac:dyDescent="0.3">
      <c r="A10" s="75">
        <v>1</v>
      </c>
      <c r="B10" s="74" t="s">
        <v>669</v>
      </c>
      <c r="C10" s="74" t="s">
        <v>71</v>
      </c>
      <c r="D10" s="75" t="s">
        <v>6</v>
      </c>
      <c r="E10" s="76">
        <v>240000</v>
      </c>
      <c r="F10" s="88">
        <v>190000</v>
      </c>
    </row>
    <row r="11" spans="1:6" ht="16.8" x14ac:dyDescent="0.3">
      <c r="A11" s="75">
        <v>2</v>
      </c>
      <c r="B11" s="74" t="s">
        <v>670</v>
      </c>
      <c r="C11" s="74" t="s">
        <v>72</v>
      </c>
      <c r="D11" s="75" t="s">
        <v>6</v>
      </c>
      <c r="E11" s="76">
        <v>260000</v>
      </c>
      <c r="F11" s="88">
        <v>210000</v>
      </c>
    </row>
    <row r="12" spans="1:6" ht="16.8" x14ac:dyDescent="0.3">
      <c r="A12" s="75">
        <v>3</v>
      </c>
      <c r="B12" s="74" t="s">
        <v>671</v>
      </c>
      <c r="C12" s="74" t="s">
        <v>73</v>
      </c>
      <c r="D12" s="75" t="s">
        <v>6</v>
      </c>
      <c r="E12" s="76">
        <v>290000</v>
      </c>
      <c r="F12" s="88">
        <v>250000</v>
      </c>
    </row>
    <row r="13" spans="1:6" ht="16.8" x14ac:dyDescent="0.3">
      <c r="A13" s="75">
        <v>4</v>
      </c>
      <c r="B13" s="74" t="s">
        <v>672</v>
      </c>
      <c r="C13" s="74" t="s">
        <v>74</v>
      </c>
      <c r="D13" s="75" t="s">
        <v>6</v>
      </c>
      <c r="E13" s="76">
        <v>330000</v>
      </c>
      <c r="F13" s="88">
        <v>290000</v>
      </c>
    </row>
    <row r="14" spans="1:6" ht="18" customHeight="1" x14ac:dyDescent="0.3">
      <c r="A14" s="75">
        <v>5</v>
      </c>
      <c r="B14" s="74" t="s">
        <v>673</v>
      </c>
      <c r="C14" s="74" t="s">
        <v>75</v>
      </c>
      <c r="D14" s="75" t="s">
        <v>6</v>
      </c>
      <c r="E14" s="76">
        <v>350000</v>
      </c>
      <c r="F14" s="88">
        <v>310000</v>
      </c>
    </row>
    <row r="15" spans="1:6" ht="18" customHeight="1" x14ac:dyDescent="0.3">
      <c r="A15" s="75">
        <v>6</v>
      </c>
      <c r="B15" s="74" t="s">
        <v>674</v>
      </c>
      <c r="C15" s="74" t="s">
        <v>597</v>
      </c>
      <c r="D15" s="75" t="s">
        <v>6</v>
      </c>
      <c r="E15" s="76">
        <v>380000</v>
      </c>
      <c r="F15" s="88">
        <v>330000</v>
      </c>
    </row>
    <row r="16" spans="1:6" ht="18" customHeight="1" x14ac:dyDescent="0.3">
      <c r="A16" s="75">
        <v>7</v>
      </c>
      <c r="B16" s="74" t="s">
        <v>675</v>
      </c>
      <c r="C16" s="74" t="s">
        <v>598</v>
      </c>
      <c r="D16" s="75" t="s">
        <v>6</v>
      </c>
      <c r="E16" s="76">
        <v>400000</v>
      </c>
      <c r="F16" s="88">
        <v>350000</v>
      </c>
    </row>
    <row r="17" spans="1:6" ht="18" customHeight="1" x14ac:dyDescent="0.3">
      <c r="A17" s="75">
        <v>8</v>
      </c>
      <c r="B17" s="74" t="s">
        <v>76</v>
      </c>
      <c r="C17" s="74" t="s">
        <v>77</v>
      </c>
      <c r="D17" s="75" t="s">
        <v>6</v>
      </c>
      <c r="E17" s="76">
        <v>180000</v>
      </c>
      <c r="F17" s="88">
        <v>140000</v>
      </c>
    </row>
    <row r="18" spans="1:6" ht="16.8" x14ac:dyDescent="0.3">
      <c r="A18" s="75">
        <v>9</v>
      </c>
      <c r="B18" s="74" t="s">
        <v>78</v>
      </c>
      <c r="C18" s="74" t="s">
        <v>79</v>
      </c>
      <c r="D18" s="75" t="s">
        <v>6</v>
      </c>
      <c r="E18" s="76">
        <v>200000</v>
      </c>
      <c r="F18" s="88">
        <v>150000</v>
      </c>
    </row>
    <row r="19" spans="1:6" ht="16.8" x14ac:dyDescent="0.3">
      <c r="A19" s="75">
        <v>10</v>
      </c>
      <c r="B19" s="74" t="s">
        <v>80</v>
      </c>
      <c r="C19" s="74" t="s">
        <v>81</v>
      </c>
      <c r="D19" s="75" t="s">
        <v>6</v>
      </c>
      <c r="E19" s="76">
        <v>250000</v>
      </c>
      <c r="F19" s="88">
        <v>210000</v>
      </c>
    </row>
    <row r="20" spans="1:6" ht="16.8" x14ac:dyDescent="0.3">
      <c r="A20" s="75">
        <v>11</v>
      </c>
      <c r="B20" s="74" t="s">
        <v>82</v>
      </c>
      <c r="C20" s="74" t="s">
        <v>83</v>
      </c>
      <c r="D20" s="75" t="s">
        <v>6</v>
      </c>
      <c r="E20" s="76">
        <v>290000</v>
      </c>
      <c r="F20" s="88">
        <v>240000</v>
      </c>
    </row>
    <row r="21" spans="1:6" ht="16.8" x14ac:dyDescent="0.3">
      <c r="A21" s="75">
        <v>12</v>
      </c>
      <c r="B21" s="74" t="s">
        <v>603</v>
      </c>
      <c r="C21" s="74" t="s">
        <v>604</v>
      </c>
      <c r="D21" s="75" t="s">
        <v>6</v>
      </c>
      <c r="E21" s="76">
        <v>320000</v>
      </c>
      <c r="F21" s="88">
        <v>270000</v>
      </c>
    </row>
    <row r="22" spans="1:6" ht="16.8" x14ac:dyDescent="0.3">
      <c r="A22" s="75">
        <v>13</v>
      </c>
      <c r="B22" s="74" t="s">
        <v>920</v>
      </c>
      <c r="C22" s="74" t="s">
        <v>84</v>
      </c>
      <c r="D22" s="75" t="s">
        <v>6</v>
      </c>
      <c r="E22" s="76">
        <v>260000</v>
      </c>
      <c r="F22" s="88">
        <v>210000</v>
      </c>
    </row>
    <row r="23" spans="1:6" ht="16.8" x14ac:dyDescent="0.3">
      <c r="A23" s="75">
        <v>14</v>
      </c>
      <c r="B23" s="74" t="s">
        <v>921</v>
      </c>
      <c r="C23" s="74" t="s">
        <v>85</v>
      </c>
      <c r="D23" s="75" t="s">
        <v>6</v>
      </c>
      <c r="E23" s="76">
        <v>280000</v>
      </c>
      <c r="F23" s="88">
        <v>230000</v>
      </c>
    </row>
    <row r="24" spans="1:6" ht="16.8" x14ac:dyDescent="0.3">
      <c r="A24" s="75">
        <v>15</v>
      </c>
      <c r="B24" s="74" t="s">
        <v>922</v>
      </c>
      <c r="C24" s="74" t="s">
        <v>86</v>
      </c>
      <c r="D24" s="75" t="s">
        <v>6</v>
      </c>
      <c r="E24" s="76">
        <v>310000</v>
      </c>
      <c r="F24" s="88">
        <v>280000</v>
      </c>
    </row>
    <row r="25" spans="1:6" ht="16.8" x14ac:dyDescent="0.3">
      <c r="A25" s="75">
        <v>16</v>
      </c>
      <c r="B25" s="74" t="s">
        <v>923</v>
      </c>
      <c r="C25" s="74" t="s">
        <v>87</v>
      </c>
      <c r="D25" s="75" t="s">
        <v>6</v>
      </c>
      <c r="E25" s="76">
        <v>350000</v>
      </c>
      <c r="F25" s="88">
        <v>310000</v>
      </c>
    </row>
    <row r="26" spans="1:6" ht="16.8" x14ac:dyDescent="0.3">
      <c r="A26" s="75">
        <v>17</v>
      </c>
      <c r="B26" s="74" t="s">
        <v>924</v>
      </c>
      <c r="C26" s="74" t="s">
        <v>599</v>
      </c>
      <c r="D26" s="75" t="s">
        <v>6</v>
      </c>
      <c r="E26" s="76">
        <v>380000</v>
      </c>
      <c r="F26" s="88">
        <v>330000</v>
      </c>
    </row>
    <row r="27" spans="1:6" ht="16.8" x14ac:dyDescent="0.3">
      <c r="A27" s="75">
        <v>18</v>
      </c>
      <c r="B27" s="74" t="s">
        <v>925</v>
      </c>
      <c r="C27" s="74" t="s">
        <v>600</v>
      </c>
      <c r="D27" s="75" t="s">
        <v>6</v>
      </c>
      <c r="E27" s="76">
        <v>410000</v>
      </c>
      <c r="F27" s="88">
        <v>360000</v>
      </c>
    </row>
    <row r="28" spans="1:6" ht="16.8" x14ac:dyDescent="0.3">
      <c r="A28" s="75">
        <v>19</v>
      </c>
      <c r="B28" s="74" t="s">
        <v>926</v>
      </c>
      <c r="C28" s="74" t="s">
        <v>601</v>
      </c>
      <c r="D28" s="75" t="s">
        <v>6</v>
      </c>
      <c r="E28" s="76">
        <v>450000</v>
      </c>
      <c r="F28" s="88">
        <v>400000</v>
      </c>
    </row>
    <row r="29" spans="1:6" ht="18.75" customHeight="1" x14ac:dyDescent="0.3">
      <c r="A29" s="111" t="s">
        <v>927</v>
      </c>
      <c r="B29" s="112"/>
      <c r="C29" s="112"/>
      <c r="D29" s="112"/>
      <c r="E29" s="112"/>
      <c r="F29" s="88"/>
    </row>
    <row r="30" spans="1:6" ht="16.8" x14ac:dyDescent="0.3">
      <c r="A30" s="1">
        <v>20</v>
      </c>
      <c r="B30" s="74" t="s">
        <v>88</v>
      </c>
      <c r="C30" s="74" t="s">
        <v>89</v>
      </c>
      <c r="D30" s="75" t="s">
        <v>6</v>
      </c>
      <c r="E30" s="76">
        <v>580000</v>
      </c>
      <c r="F30" s="88">
        <v>430000</v>
      </c>
    </row>
    <row r="31" spans="1:6" ht="16.8" x14ac:dyDescent="0.3">
      <c r="A31" s="1">
        <v>21</v>
      </c>
      <c r="B31" s="74" t="s">
        <v>90</v>
      </c>
      <c r="C31" s="74" t="s">
        <v>91</v>
      </c>
      <c r="D31" s="75" t="s">
        <v>6</v>
      </c>
      <c r="E31" s="76">
        <v>630000</v>
      </c>
      <c r="F31" s="88">
        <v>470000</v>
      </c>
    </row>
    <row r="32" spans="1:6" ht="16.8" x14ac:dyDescent="0.3">
      <c r="A32" s="1">
        <v>22</v>
      </c>
      <c r="B32" s="74" t="s">
        <v>92</v>
      </c>
      <c r="C32" s="74" t="s">
        <v>93</v>
      </c>
      <c r="D32" s="75" t="s">
        <v>6</v>
      </c>
      <c r="E32" s="76">
        <v>680000</v>
      </c>
      <c r="F32" s="88">
        <v>520000</v>
      </c>
    </row>
    <row r="33" spans="1:6" ht="16.8" x14ac:dyDescent="0.3">
      <c r="A33" s="1">
        <v>23</v>
      </c>
      <c r="B33" s="74" t="s">
        <v>94</v>
      </c>
      <c r="C33" s="74" t="s">
        <v>95</v>
      </c>
      <c r="D33" s="75" t="s">
        <v>6</v>
      </c>
      <c r="E33" s="76">
        <v>730000</v>
      </c>
      <c r="F33" s="88">
        <v>580000</v>
      </c>
    </row>
    <row r="34" spans="1:6" ht="16.8" x14ac:dyDescent="0.3">
      <c r="A34" s="1">
        <v>24</v>
      </c>
      <c r="B34" s="74" t="s">
        <v>96</v>
      </c>
      <c r="C34" s="74" t="s">
        <v>97</v>
      </c>
      <c r="D34" s="75" t="s">
        <v>6</v>
      </c>
      <c r="E34" s="76">
        <v>830000</v>
      </c>
      <c r="F34" s="88">
        <v>680000</v>
      </c>
    </row>
    <row r="35" spans="1:6" ht="16.8" x14ac:dyDescent="0.3">
      <c r="A35" s="1">
        <v>25</v>
      </c>
      <c r="B35" s="74" t="s">
        <v>587</v>
      </c>
      <c r="C35" s="74" t="s">
        <v>588</v>
      </c>
      <c r="D35" s="75" t="s">
        <v>6</v>
      </c>
      <c r="E35" s="76">
        <v>950000</v>
      </c>
      <c r="F35" s="88">
        <v>800000</v>
      </c>
    </row>
    <row r="36" spans="1:6" ht="16.8" x14ac:dyDescent="0.3">
      <c r="A36" s="1">
        <v>26</v>
      </c>
      <c r="B36" s="74" t="s">
        <v>98</v>
      </c>
      <c r="C36" s="74" t="s">
        <v>99</v>
      </c>
      <c r="D36" s="75" t="s">
        <v>6</v>
      </c>
      <c r="E36" s="76">
        <v>1030000</v>
      </c>
      <c r="F36" s="88">
        <v>880000</v>
      </c>
    </row>
    <row r="37" spans="1:6" ht="18.75" customHeight="1" x14ac:dyDescent="0.3">
      <c r="A37" s="111" t="s">
        <v>100</v>
      </c>
      <c r="B37" s="112"/>
      <c r="C37" s="112"/>
      <c r="D37" s="112"/>
      <c r="E37" s="112"/>
      <c r="F37" s="88"/>
    </row>
    <row r="38" spans="1:6" ht="16.8" x14ac:dyDescent="0.3">
      <c r="A38" s="1">
        <v>27</v>
      </c>
      <c r="B38" s="74" t="s">
        <v>101</v>
      </c>
      <c r="C38" s="74" t="s">
        <v>102</v>
      </c>
      <c r="D38" s="75" t="s">
        <v>6</v>
      </c>
      <c r="E38" s="76">
        <v>145000</v>
      </c>
      <c r="F38" s="88">
        <v>110000</v>
      </c>
    </row>
    <row r="39" spans="1:6" ht="16.8" x14ac:dyDescent="0.3">
      <c r="A39" s="1">
        <v>28</v>
      </c>
      <c r="B39" s="74" t="s">
        <v>103</v>
      </c>
      <c r="C39" s="74" t="s">
        <v>104</v>
      </c>
      <c r="D39" s="75" t="s">
        <v>6</v>
      </c>
      <c r="E39" s="76">
        <v>155000</v>
      </c>
      <c r="F39" s="88">
        <v>120000</v>
      </c>
    </row>
    <row r="40" spans="1:6" ht="16.8" x14ac:dyDescent="0.3">
      <c r="A40" s="1">
        <v>29</v>
      </c>
      <c r="B40" s="74" t="s">
        <v>105</v>
      </c>
      <c r="C40" s="74" t="s">
        <v>106</v>
      </c>
      <c r="D40" s="75" t="s">
        <v>6</v>
      </c>
      <c r="E40" s="76">
        <v>165000</v>
      </c>
      <c r="F40" s="88">
        <v>130000</v>
      </c>
    </row>
    <row r="41" spans="1:6" ht="16.8" x14ac:dyDescent="0.3">
      <c r="A41" s="1">
        <v>30</v>
      </c>
      <c r="B41" s="74" t="s">
        <v>107</v>
      </c>
      <c r="C41" s="74" t="s">
        <v>108</v>
      </c>
      <c r="D41" s="75" t="s">
        <v>6</v>
      </c>
      <c r="E41" s="76">
        <v>175000</v>
      </c>
      <c r="F41" s="88">
        <v>140000</v>
      </c>
    </row>
    <row r="42" spans="1:6" ht="16.8" x14ac:dyDescent="0.3">
      <c r="A42" s="1">
        <v>31</v>
      </c>
      <c r="B42" s="74" t="s">
        <v>109</v>
      </c>
      <c r="C42" s="74" t="s">
        <v>110</v>
      </c>
      <c r="D42" s="75" t="s">
        <v>6</v>
      </c>
      <c r="E42" s="76">
        <v>195000</v>
      </c>
      <c r="F42" s="88">
        <v>150000</v>
      </c>
    </row>
    <row r="43" spans="1:6" ht="16.8" x14ac:dyDescent="0.3">
      <c r="A43" s="1">
        <v>32</v>
      </c>
      <c r="B43" s="74" t="s">
        <v>584</v>
      </c>
      <c r="C43" s="74" t="s">
        <v>589</v>
      </c>
      <c r="D43" s="75" t="s">
        <v>6</v>
      </c>
      <c r="E43" s="76">
        <v>230000</v>
      </c>
      <c r="F43" s="88">
        <v>190000</v>
      </c>
    </row>
    <row r="44" spans="1:6" ht="16.8" x14ac:dyDescent="0.3">
      <c r="A44" s="1">
        <v>33</v>
      </c>
      <c r="B44" s="74" t="s">
        <v>111</v>
      </c>
      <c r="C44" s="74" t="s">
        <v>112</v>
      </c>
      <c r="D44" s="75" t="s">
        <v>6</v>
      </c>
      <c r="E44" s="76">
        <v>245000</v>
      </c>
      <c r="F44" s="88">
        <v>205000</v>
      </c>
    </row>
    <row r="45" spans="1:6" ht="16.8" x14ac:dyDescent="0.3">
      <c r="A45" s="1">
        <v>34</v>
      </c>
      <c r="B45" s="74" t="s">
        <v>676</v>
      </c>
      <c r="C45" s="74" t="s">
        <v>113</v>
      </c>
      <c r="D45" s="75" t="s">
        <v>6</v>
      </c>
      <c r="E45" s="76">
        <v>185000</v>
      </c>
      <c r="F45" s="88">
        <v>150000</v>
      </c>
    </row>
    <row r="46" spans="1:6" ht="16.8" x14ac:dyDescent="0.3">
      <c r="A46" s="1">
        <v>35</v>
      </c>
      <c r="B46" s="74" t="s">
        <v>677</v>
      </c>
      <c r="C46" s="74" t="s">
        <v>114</v>
      </c>
      <c r="D46" s="75" t="s">
        <v>6</v>
      </c>
      <c r="E46" s="76">
        <v>200000</v>
      </c>
      <c r="F46" s="88">
        <v>160000</v>
      </c>
    </row>
    <row r="47" spans="1:6" ht="16.8" x14ac:dyDescent="0.3">
      <c r="A47" s="1">
        <v>36</v>
      </c>
      <c r="B47" s="74" t="s">
        <v>678</v>
      </c>
      <c r="C47" s="74" t="s">
        <v>115</v>
      </c>
      <c r="D47" s="75" t="s">
        <v>6</v>
      </c>
      <c r="E47" s="76">
        <v>215000</v>
      </c>
      <c r="F47" s="88">
        <v>170000</v>
      </c>
    </row>
    <row r="48" spans="1:6" ht="16.8" x14ac:dyDescent="0.3">
      <c r="A48" s="1">
        <v>37</v>
      </c>
      <c r="B48" s="74" t="s">
        <v>679</v>
      </c>
      <c r="C48" s="74" t="s">
        <v>116</v>
      </c>
      <c r="D48" s="75" t="s">
        <v>6</v>
      </c>
      <c r="E48" s="76">
        <v>230000</v>
      </c>
      <c r="F48" s="88">
        <v>190000</v>
      </c>
    </row>
    <row r="49" spans="1:6" ht="16.8" x14ac:dyDescent="0.3">
      <c r="A49" s="1">
        <v>38</v>
      </c>
      <c r="B49" s="74" t="s">
        <v>680</v>
      </c>
      <c r="C49" s="74" t="s">
        <v>117</v>
      </c>
      <c r="D49" s="75" t="s">
        <v>6</v>
      </c>
      <c r="E49" s="76">
        <v>260000</v>
      </c>
      <c r="F49" s="88">
        <v>210000</v>
      </c>
    </row>
    <row r="50" spans="1:6" ht="16.8" x14ac:dyDescent="0.3">
      <c r="A50" s="1">
        <v>39</v>
      </c>
      <c r="B50" s="74" t="s">
        <v>681</v>
      </c>
      <c r="C50" s="74" t="s">
        <v>590</v>
      </c>
      <c r="D50" s="75" t="s">
        <v>6</v>
      </c>
      <c r="E50" s="76">
        <v>280000</v>
      </c>
      <c r="F50" s="88">
        <v>240000</v>
      </c>
    </row>
    <row r="51" spans="1:6" ht="16.8" x14ac:dyDescent="0.3">
      <c r="A51" s="1">
        <v>40</v>
      </c>
      <c r="B51" s="74" t="s">
        <v>682</v>
      </c>
      <c r="C51" s="74" t="s">
        <v>118</v>
      </c>
      <c r="D51" s="75" t="s">
        <v>6</v>
      </c>
      <c r="E51" s="76">
        <v>290000</v>
      </c>
      <c r="F51" s="88">
        <v>250000</v>
      </c>
    </row>
    <row r="52" spans="1:6" ht="16.8" x14ac:dyDescent="0.3">
      <c r="A52" s="1">
        <v>41</v>
      </c>
      <c r="B52" s="74" t="s">
        <v>119</v>
      </c>
      <c r="C52" s="74" t="s">
        <v>120</v>
      </c>
      <c r="D52" s="75" t="s">
        <v>6</v>
      </c>
      <c r="E52" s="76">
        <v>175000</v>
      </c>
      <c r="F52" s="88">
        <v>140000</v>
      </c>
    </row>
    <row r="53" spans="1:6" ht="16.8" x14ac:dyDescent="0.3">
      <c r="A53" s="1">
        <v>42</v>
      </c>
      <c r="B53" s="74" t="s">
        <v>121</v>
      </c>
      <c r="C53" s="74" t="s">
        <v>122</v>
      </c>
      <c r="D53" s="75" t="s">
        <v>6</v>
      </c>
      <c r="E53" s="76">
        <v>185000</v>
      </c>
      <c r="F53" s="88">
        <v>150000</v>
      </c>
    </row>
    <row r="54" spans="1:6" ht="16.8" x14ac:dyDescent="0.3">
      <c r="A54" s="1">
        <v>43</v>
      </c>
      <c r="B54" s="74" t="s">
        <v>123</v>
      </c>
      <c r="C54" s="74" t="s">
        <v>124</v>
      </c>
      <c r="D54" s="75" t="s">
        <v>6</v>
      </c>
      <c r="E54" s="76">
        <v>195000</v>
      </c>
      <c r="F54" s="88">
        <v>160000</v>
      </c>
    </row>
    <row r="55" spans="1:6" ht="16.8" x14ac:dyDescent="0.3">
      <c r="A55" s="1">
        <v>44</v>
      </c>
      <c r="B55" s="74" t="s">
        <v>125</v>
      </c>
      <c r="C55" s="74" t="s">
        <v>126</v>
      </c>
      <c r="D55" s="75" t="s">
        <v>6</v>
      </c>
      <c r="E55" s="76">
        <v>205000</v>
      </c>
      <c r="F55" s="88">
        <v>170000</v>
      </c>
    </row>
    <row r="56" spans="1:6" ht="16.8" x14ac:dyDescent="0.3">
      <c r="A56" s="1">
        <v>45</v>
      </c>
      <c r="B56" s="74" t="s">
        <v>127</v>
      </c>
      <c r="C56" s="74" t="s">
        <v>128</v>
      </c>
      <c r="D56" s="75" t="s">
        <v>6</v>
      </c>
      <c r="E56" s="76">
        <v>225000</v>
      </c>
      <c r="F56" s="88">
        <v>180000</v>
      </c>
    </row>
    <row r="57" spans="1:6" ht="16.8" x14ac:dyDescent="0.3">
      <c r="A57" s="1">
        <v>46</v>
      </c>
      <c r="B57" s="74" t="s">
        <v>585</v>
      </c>
      <c r="C57" s="74" t="s">
        <v>591</v>
      </c>
      <c r="D57" s="75" t="s">
        <v>6</v>
      </c>
      <c r="E57" s="76">
        <v>260000</v>
      </c>
      <c r="F57" s="88">
        <v>220000</v>
      </c>
    </row>
    <row r="58" spans="1:6" ht="16.8" x14ac:dyDescent="0.3">
      <c r="A58" s="1">
        <v>47</v>
      </c>
      <c r="B58" s="74" t="s">
        <v>586</v>
      </c>
      <c r="C58" s="74" t="s">
        <v>129</v>
      </c>
      <c r="D58" s="75" t="s">
        <v>6</v>
      </c>
      <c r="E58" s="76">
        <v>275000</v>
      </c>
      <c r="F58" s="88">
        <v>235000</v>
      </c>
    </row>
    <row r="59" spans="1:6" ht="18.75" customHeight="1" x14ac:dyDescent="0.3">
      <c r="A59" s="111" t="s">
        <v>556</v>
      </c>
      <c r="B59" s="112"/>
      <c r="C59" s="112"/>
      <c r="D59" s="112"/>
      <c r="E59" s="112"/>
      <c r="F59" s="88"/>
    </row>
    <row r="60" spans="1:6" ht="16.8" x14ac:dyDescent="0.3">
      <c r="A60" s="1">
        <v>48</v>
      </c>
      <c r="B60" s="81" t="s">
        <v>541</v>
      </c>
      <c r="C60" s="81" t="s">
        <v>569</v>
      </c>
      <c r="D60" s="80" t="s">
        <v>6</v>
      </c>
      <c r="E60" s="82">
        <f t="shared" ref="E60:F64" si="0">E85+30000</f>
        <v>130000</v>
      </c>
      <c r="F60" s="89">
        <f t="shared" si="0"/>
        <v>100000</v>
      </c>
    </row>
    <row r="61" spans="1:6" ht="16.8" x14ac:dyDescent="0.3">
      <c r="A61" s="1">
        <v>49</v>
      </c>
      <c r="B61" s="81" t="s">
        <v>542</v>
      </c>
      <c r="C61" s="81" t="s">
        <v>570</v>
      </c>
      <c r="D61" s="80" t="s">
        <v>6</v>
      </c>
      <c r="E61" s="82">
        <f t="shared" si="0"/>
        <v>140000</v>
      </c>
      <c r="F61" s="89">
        <f t="shared" si="0"/>
        <v>107000</v>
      </c>
    </row>
    <row r="62" spans="1:6" ht="16.8" x14ac:dyDescent="0.3">
      <c r="A62" s="1">
        <v>50</v>
      </c>
      <c r="B62" s="81" t="s">
        <v>543</v>
      </c>
      <c r="C62" s="81" t="s">
        <v>571</v>
      </c>
      <c r="D62" s="80" t="s">
        <v>6</v>
      </c>
      <c r="E62" s="82">
        <f t="shared" si="0"/>
        <v>150000</v>
      </c>
      <c r="F62" s="89">
        <f t="shared" si="0"/>
        <v>115000</v>
      </c>
    </row>
    <row r="63" spans="1:6" ht="16.8" x14ac:dyDescent="0.3">
      <c r="A63" s="1">
        <v>51</v>
      </c>
      <c r="B63" s="81" t="s">
        <v>544</v>
      </c>
      <c r="C63" s="81" t="s">
        <v>572</v>
      </c>
      <c r="D63" s="80" t="s">
        <v>6</v>
      </c>
      <c r="E63" s="82">
        <f t="shared" si="0"/>
        <v>160000</v>
      </c>
      <c r="F63" s="89">
        <f t="shared" si="0"/>
        <v>125000</v>
      </c>
    </row>
    <row r="64" spans="1:6" ht="16.8" x14ac:dyDescent="0.3">
      <c r="A64" s="1">
        <v>52</v>
      </c>
      <c r="B64" s="81" t="s">
        <v>545</v>
      </c>
      <c r="C64" s="81" t="s">
        <v>573</v>
      </c>
      <c r="D64" s="80" t="s">
        <v>6</v>
      </c>
      <c r="E64" s="82">
        <f t="shared" si="0"/>
        <v>170000</v>
      </c>
      <c r="F64" s="89">
        <f t="shared" si="0"/>
        <v>135000</v>
      </c>
    </row>
    <row r="65" spans="1:6" ht="16.8" x14ac:dyDescent="0.3">
      <c r="A65" s="1">
        <v>53</v>
      </c>
      <c r="B65" s="81" t="s">
        <v>593</v>
      </c>
      <c r="C65" s="81" t="s">
        <v>592</v>
      </c>
      <c r="D65" s="80" t="s">
        <v>6</v>
      </c>
      <c r="E65" s="82">
        <v>190000</v>
      </c>
      <c r="F65" s="89">
        <v>155000</v>
      </c>
    </row>
    <row r="66" spans="1:6" ht="16.8" x14ac:dyDescent="0.3">
      <c r="A66" s="1">
        <v>54</v>
      </c>
      <c r="B66" s="81" t="s">
        <v>554</v>
      </c>
      <c r="C66" s="81" t="s">
        <v>574</v>
      </c>
      <c r="D66" s="80" t="s">
        <v>6</v>
      </c>
      <c r="E66" s="82">
        <f t="shared" ref="E66:F71" si="1">E91+30000</f>
        <v>210000</v>
      </c>
      <c r="F66" s="89">
        <f t="shared" si="1"/>
        <v>180000</v>
      </c>
    </row>
    <row r="67" spans="1:6" ht="16.8" x14ac:dyDescent="0.3">
      <c r="A67" s="1">
        <v>55</v>
      </c>
      <c r="B67" s="81" t="s">
        <v>546</v>
      </c>
      <c r="C67" s="81" t="s">
        <v>575</v>
      </c>
      <c r="D67" s="80" t="s">
        <v>6</v>
      </c>
      <c r="E67" s="82">
        <f t="shared" si="1"/>
        <v>160000</v>
      </c>
      <c r="F67" s="89">
        <f t="shared" si="1"/>
        <v>115000</v>
      </c>
    </row>
    <row r="68" spans="1:6" ht="16.8" x14ac:dyDescent="0.3">
      <c r="A68" s="1">
        <v>56</v>
      </c>
      <c r="B68" s="81" t="s">
        <v>553</v>
      </c>
      <c r="C68" s="81" t="s">
        <v>576</v>
      </c>
      <c r="D68" s="80" t="s">
        <v>6</v>
      </c>
      <c r="E68" s="82">
        <f t="shared" si="1"/>
        <v>170000</v>
      </c>
      <c r="F68" s="89">
        <f t="shared" si="1"/>
        <v>122000</v>
      </c>
    </row>
    <row r="69" spans="1:6" ht="16.8" x14ac:dyDescent="0.3">
      <c r="A69" s="1">
        <v>57</v>
      </c>
      <c r="B69" s="81" t="s">
        <v>552</v>
      </c>
      <c r="C69" s="81" t="s">
        <v>577</v>
      </c>
      <c r="D69" s="80" t="s">
        <v>6</v>
      </c>
      <c r="E69" s="82">
        <f t="shared" si="1"/>
        <v>180000</v>
      </c>
      <c r="F69" s="89">
        <f t="shared" si="1"/>
        <v>130000</v>
      </c>
    </row>
    <row r="70" spans="1:6" ht="16.8" x14ac:dyDescent="0.3">
      <c r="A70" s="1">
        <v>58</v>
      </c>
      <c r="B70" s="81" t="s">
        <v>555</v>
      </c>
      <c r="C70" s="81" t="s">
        <v>578</v>
      </c>
      <c r="D70" s="80" t="s">
        <v>6</v>
      </c>
      <c r="E70" s="82">
        <f t="shared" si="1"/>
        <v>190000</v>
      </c>
      <c r="F70" s="89">
        <f t="shared" si="1"/>
        <v>140000</v>
      </c>
    </row>
    <row r="71" spans="1:6" ht="16.8" x14ac:dyDescent="0.3">
      <c r="A71" s="1">
        <v>59</v>
      </c>
      <c r="B71" s="81" t="s">
        <v>547</v>
      </c>
      <c r="C71" s="81" t="s">
        <v>579</v>
      </c>
      <c r="D71" s="80" t="s">
        <v>6</v>
      </c>
      <c r="E71" s="82">
        <f t="shared" si="1"/>
        <v>200000</v>
      </c>
      <c r="F71" s="89">
        <f t="shared" si="1"/>
        <v>150000</v>
      </c>
    </row>
    <row r="72" spans="1:6" ht="16.8" x14ac:dyDescent="0.3">
      <c r="A72" s="1">
        <v>60</v>
      </c>
      <c r="B72" s="81" t="s">
        <v>594</v>
      </c>
      <c r="C72" s="81" t="s">
        <v>595</v>
      </c>
      <c r="D72" s="80" t="s">
        <v>6</v>
      </c>
      <c r="E72" s="82">
        <v>220000</v>
      </c>
      <c r="F72" s="89">
        <f>F96+30000</f>
        <v>150000</v>
      </c>
    </row>
    <row r="73" spans="1:6" ht="16.8" x14ac:dyDescent="0.3">
      <c r="A73" s="1">
        <v>61</v>
      </c>
      <c r="B73" s="81" t="s">
        <v>551</v>
      </c>
      <c r="C73" s="81" t="s">
        <v>580</v>
      </c>
      <c r="D73" s="80" t="s">
        <v>6</v>
      </c>
      <c r="E73" s="82">
        <f>E98+30000</f>
        <v>250000</v>
      </c>
      <c r="F73" s="89">
        <f>F98+30000</f>
        <v>200000</v>
      </c>
    </row>
    <row r="74" spans="1:6" ht="16.8" x14ac:dyDescent="0.3">
      <c r="A74" s="1">
        <v>62</v>
      </c>
      <c r="B74" s="81" t="s">
        <v>605</v>
      </c>
      <c r="C74" s="81" t="s">
        <v>612</v>
      </c>
      <c r="D74" s="80" t="s">
        <v>6</v>
      </c>
      <c r="E74" s="82">
        <v>190000</v>
      </c>
      <c r="F74" s="89">
        <v>150000</v>
      </c>
    </row>
    <row r="75" spans="1:6" ht="16.8" x14ac:dyDescent="0.3">
      <c r="A75" s="1">
        <v>63</v>
      </c>
      <c r="B75" s="81" t="s">
        <v>606</v>
      </c>
      <c r="C75" s="81" t="s">
        <v>613</v>
      </c>
      <c r="D75" s="80" t="s">
        <v>6</v>
      </c>
      <c r="E75" s="82">
        <v>200000</v>
      </c>
      <c r="F75" s="89">
        <v>160000</v>
      </c>
    </row>
    <row r="76" spans="1:6" ht="16.8" x14ac:dyDescent="0.3">
      <c r="A76" s="1">
        <v>64</v>
      </c>
      <c r="B76" s="81" t="s">
        <v>607</v>
      </c>
      <c r="C76" s="81" t="s">
        <v>614</v>
      </c>
      <c r="D76" s="80" t="s">
        <v>6</v>
      </c>
      <c r="E76" s="82">
        <v>210000</v>
      </c>
      <c r="F76" s="89">
        <v>170000</v>
      </c>
    </row>
    <row r="77" spans="1:6" ht="16.8" x14ac:dyDescent="0.3">
      <c r="A77" s="1">
        <v>65</v>
      </c>
      <c r="B77" s="81" t="s">
        <v>608</v>
      </c>
      <c r="C77" s="81" t="s">
        <v>615</v>
      </c>
      <c r="D77" s="80" t="s">
        <v>6</v>
      </c>
      <c r="E77" s="82">
        <v>220000</v>
      </c>
      <c r="F77" s="89">
        <v>180000</v>
      </c>
    </row>
    <row r="78" spans="1:6" ht="16.8" x14ac:dyDescent="0.3">
      <c r="A78" s="1">
        <v>66</v>
      </c>
      <c r="B78" s="81" t="s">
        <v>609</v>
      </c>
      <c r="C78" s="81" t="s">
        <v>616</v>
      </c>
      <c r="D78" s="80" t="s">
        <v>6</v>
      </c>
      <c r="E78" s="82">
        <v>230000</v>
      </c>
      <c r="F78" s="89">
        <v>190000</v>
      </c>
    </row>
    <row r="79" spans="1:6" ht="16.8" x14ac:dyDescent="0.3">
      <c r="A79" s="1">
        <v>67</v>
      </c>
      <c r="B79" s="81" t="s">
        <v>610</v>
      </c>
      <c r="C79" s="81" t="s">
        <v>617</v>
      </c>
      <c r="D79" s="80" t="s">
        <v>6</v>
      </c>
      <c r="E79" s="82">
        <v>250000</v>
      </c>
      <c r="F79" s="89">
        <v>210000</v>
      </c>
    </row>
    <row r="80" spans="1:6" ht="16.8" x14ac:dyDescent="0.3">
      <c r="A80" s="1">
        <v>68</v>
      </c>
      <c r="B80" s="81" t="s">
        <v>611</v>
      </c>
      <c r="C80" s="81" t="s">
        <v>618</v>
      </c>
      <c r="D80" s="80" t="s">
        <v>6</v>
      </c>
      <c r="E80" s="82">
        <v>270000</v>
      </c>
      <c r="F80" s="89">
        <v>230000</v>
      </c>
    </row>
    <row r="81" spans="1:6" ht="16.8" x14ac:dyDescent="0.3">
      <c r="A81" s="1">
        <v>69</v>
      </c>
      <c r="B81" s="81" t="s">
        <v>550</v>
      </c>
      <c r="C81" s="81" t="s">
        <v>581</v>
      </c>
      <c r="D81" s="80" t="s">
        <v>6</v>
      </c>
      <c r="E81" s="82">
        <v>50000</v>
      </c>
      <c r="F81" s="89">
        <v>38000</v>
      </c>
    </row>
    <row r="82" spans="1:6" ht="16.8" x14ac:dyDescent="0.3">
      <c r="A82" s="1">
        <v>70</v>
      </c>
      <c r="B82" s="81" t="s">
        <v>549</v>
      </c>
      <c r="C82" s="81" t="s">
        <v>582</v>
      </c>
      <c r="D82" s="80" t="s">
        <v>6</v>
      </c>
      <c r="E82" s="82">
        <v>45000</v>
      </c>
      <c r="F82" s="89">
        <v>34000</v>
      </c>
    </row>
    <row r="83" spans="1:6" ht="16.8" x14ac:dyDescent="0.3">
      <c r="A83" s="1">
        <v>71</v>
      </c>
      <c r="B83" s="81" t="s">
        <v>548</v>
      </c>
      <c r="C83" s="81" t="s">
        <v>583</v>
      </c>
      <c r="D83" s="80" t="s">
        <v>6</v>
      </c>
      <c r="E83" s="82">
        <v>80000</v>
      </c>
      <c r="F83" s="89">
        <v>55000</v>
      </c>
    </row>
    <row r="84" spans="1:6" ht="18.75" customHeight="1" x14ac:dyDescent="0.3">
      <c r="A84" s="144" t="s">
        <v>130</v>
      </c>
      <c r="B84" s="145"/>
      <c r="C84" s="145"/>
      <c r="D84" s="145"/>
      <c r="E84" s="146"/>
      <c r="F84" s="88"/>
    </row>
    <row r="85" spans="1:6" ht="16.8" x14ac:dyDescent="0.3">
      <c r="A85" s="1">
        <v>72</v>
      </c>
      <c r="B85" s="74" t="s">
        <v>131</v>
      </c>
      <c r="C85" s="74" t="s">
        <v>132</v>
      </c>
      <c r="D85" s="75" t="s">
        <v>6</v>
      </c>
      <c r="E85" s="76">
        <v>100000</v>
      </c>
      <c r="F85" s="88">
        <v>70000</v>
      </c>
    </row>
    <row r="86" spans="1:6" ht="16.8" x14ac:dyDescent="0.3">
      <c r="A86" s="1">
        <v>73</v>
      </c>
      <c r="B86" s="74" t="s">
        <v>133</v>
      </c>
      <c r="C86" s="74" t="s">
        <v>134</v>
      </c>
      <c r="D86" s="75" t="s">
        <v>6</v>
      </c>
      <c r="E86" s="76">
        <v>110000</v>
      </c>
      <c r="F86" s="88">
        <v>77000</v>
      </c>
    </row>
    <row r="87" spans="1:6" ht="16.8" x14ac:dyDescent="0.3">
      <c r="A87" s="1">
        <v>74</v>
      </c>
      <c r="B87" s="74" t="s">
        <v>135</v>
      </c>
      <c r="C87" s="74" t="s">
        <v>136</v>
      </c>
      <c r="D87" s="75" t="s">
        <v>6</v>
      </c>
      <c r="E87" s="76">
        <v>120000</v>
      </c>
      <c r="F87" s="88">
        <v>85000</v>
      </c>
    </row>
    <row r="88" spans="1:6" ht="16.8" x14ac:dyDescent="0.3">
      <c r="A88" s="1">
        <v>75</v>
      </c>
      <c r="B88" s="74" t="s">
        <v>137</v>
      </c>
      <c r="C88" s="74" t="s">
        <v>138</v>
      </c>
      <c r="D88" s="75" t="s">
        <v>6</v>
      </c>
      <c r="E88" s="76">
        <v>130000</v>
      </c>
      <c r="F88" s="88">
        <v>95000</v>
      </c>
    </row>
    <row r="89" spans="1:6" ht="16.8" x14ac:dyDescent="0.3">
      <c r="A89" s="1">
        <v>76</v>
      </c>
      <c r="B89" s="74" t="s">
        <v>139</v>
      </c>
      <c r="C89" s="74" t="s">
        <v>140</v>
      </c>
      <c r="D89" s="75" t="s">
        <v>6</v>
      </c>
      <c r="E89" s="76">
        <v>140000</v>
      </c>
      <c r="F89" s="88">
        <v>105000</v>
      </c>
    </row>
    <row r="90" spans="1:6" ht="16.8" x14ac:dyDescent="0.3">
      <c r="A90" s="1">
        <v>77</v>
      </c>
      <c r="B90" s="74" t="s">
        <v>625</v>
      </c>
      <c r="C90" s="74" t="s">
        <v>626</v>
      </c>
      <c r="D90" s="75" t="s">
        <v>6</v>
      </c>
      <c r="E90" s="76">
        <v>180000</v>
      </c>
      <c r="F90" s="88">
        <v>150000</v>
      </c>
    </row>
    <row r="91" spans="1:6" ht="16.8" x14ac:dyDescent="0.3">
      <c r="A91" s="1">
        <v>78</v>
      </c>
      <c r="B91" s="74" t="s">
        <v>141</v>
      </c>
      <c r="C91" s="74" t="s">
        <v>142</v>
      </c>
      <c r="D91" s="75" t="s">
        <v>6</v>
      </c>
      <c r="E91" s="76">
        <v>180000</v>
      </c>
      <c r="F91" s="88">
        <v>150000</v>
      </c>
    </row>
    <row r="92" spans="1:6" ht="16.8" x14ac:dyDescent="0.3">
      <c r="A92" s="1">
        <v>79</v>
      </c>
      <c r="B92" s="74" t="s">
        <v>143</v>
      </c>
      <c r="C92" s="74" t="s">
        <v>144</v>
      </c>
      <c r="D92" s="75" t="s">
        <v>6</v>
      </c>
      <c r="E92" s="76">
        <v>130000</v>
      </c>
      <c r="F92" s="88">
        <v>85000</v>
      </c>
    </row>
    <row r="93" spans="1:6" ht="16.8" x14ac:dyDescent="0.3">
      <c r="A93" s="1">
        <v>80</v>
      </c>
      <c r="B93" s="74" t="s">
        <v>145</v>
      </c>
      <c r="C93" s="74" t="s">
        <v>146</v>
      </c>
      <c r="D93" s="75" t="s">
        <v>6</v>
      </c>
      <c r="E93" s="76">
        <v>140000</v>
      </c>
      <c r="F93" s="88">
        <v>92000</v>
      </c>
    </row>
    <row r="94" spans="1:6" ht="16.8" x14ac:dyDescent="0.3">
      <c r="A94" s="1">
        <v>81</v>
      </c>
      <c r="B94" s="74" t="s">
        <v>147</v>
      </c>
      <c r="C94" s="74" t="s">
        <v>148</v>
      </c>
      <c r="D94" s="75" t="s">
        <v>6</v>
      </c>
      <c r="E94" s="76">
        <v>150000</v>
      </c>
      <c r="F94" s="88">
        <v>100000</v>
      </c>
    </row>
    <row r="95" spans="1:6" ht="16.8" x14ac:dyDescent="0.3">
      <c r="A95" s="1">
        <v>82</v>
      </c>
      <c r="B95" s="74" t="s">
        <v>149</v>
      </c>
      <c r="C95" s="74" t="s">
        <v>150</v>
      </c>
      <c r="D95" s="75" t="s">
        <v>6</v>
      </c>
      <c r="E95" s="76">
        <v>160000</v>
      </c>
      <c r="F95" s="88">
        <v>110000</v>
      </c>
    </row>
    <row r="96" spans="1:6" ht="16.8" x14ac:dyDescent="0.3">
      <c r="A96" s="1">
        <v>83</v>
      </c>
      <c r="B96" s="74" t="s">
        <v>151</v>
      </c>
      <c r="C96" s="74" t="s">
        <v>152</v>
      </c>
      <c r="D96" s="75" t="s">
        <v>6</v>
      </c>
      <c r="E96" s="76">
        <v>170000</v>
      </c>
      <c r="F96" s="88">
        <v>120000</v>
      </c>
    </row>
    <row r="97" spans="1:6" ht="16.8" x14ac:dyDescent="0.3">
      <c r="A97" s="1">
        <v>84</v>
      </c>
      <c r="B97" s="74" t="s">
        <v>627</v>
      </c>
      <c r="C97" s="74" t="s">
        <v>628</v>
      </c>
      <c r="D97" s="75" t="s">
        <v>6</v>
      </c>
      <c r="E97" s="76">
        <v>220000</v>
      </c>
      <c r="F97" s="88">
        <v>170000</v>
      </c>
    </row>
    <row r="98" spans="1:6" ht="16.8" x14ac:dyDescent="0.3">
      <c r="A98" s="1">
        <v>85</v>
      </c>
      <c r="B98" s="74" t="s">
        <v>153</v>
      </c>
      <c r="C98" s="74" t="s">
        <v>154</v>
      </c>
      <c r="D98" s="75" t="s">
        <v>6</v>
      </c>
      <c r="E98" s="76">
        <v>220000</v>
      </c>
      <c r="F98" s="88">
        <v>170000</v>
      </c>
    </row>
    <row r="99" spans="1:6" ht="16.8" x14ac:dyDescent="0.3">
      <c r="A99" s="1">
        <v>86</v>
      </c>
      <c r="B99" s="74" t="s">
        <v>631</v>
      </c>
      <c r="C99" s="74" t="s">
        <v>619</v>
      </c>
      <c r="D99" s="75" t="s">
        <v>6</v>
      </c>
      <c r="E99" s="76">
        <v>130000</v>
      </c>
      <c r="F99" s="88">
        <v>85000</v>
      </c>
    </row>
    <row r="100" spans="1:6" ht="16.8" x14ac:dyDescent="0.3">
      <c r="A100" s="1">
        <v>87</v>
      </c>
      <c r="B100" s="74" t="s">
        <v>630</v>
      </c>
      <c r="C100" s="74" t="s">
        <v>620</v>
      </c>
      <c r="D100" s="75" t="s">
        <v>6</v>
      </c>
      <c r="E100" s="76">
        <v>140000</v>
      </c>
      <c r="F100" s="88">
        <v>92000</v>
      </c>
    </row>
    <row r="101" spans="1:6" ht="16.8" x14ac:dyDescent="0.3">
      <c r="A101" s="1">
        <v>88</v>
      </c>
      <c r="B101" s="74" t="s">
        <v>632</v>
      </c>
      <c r="C101" s="74" t="s">
        <v>621</v>
      </c>
      <c r="D101" s="75" t="s">
        <v>6</v>
      </c>
      <c r="E101" s="76">
        <v>150000</v>
      </c>
      <c r="F101" s="88">
        <v>100000</v>
      </c>
    </row>
    <row r="102" spans="1:6" ht="16.8" x14ac:dyDescent="0.3">
      <c r="A102" s="1">
        <v>89</v>
      </c>
      <c r="B102" s="74" t="s">
        <v>633</v>
      </c>
      <c r="C102" s="74" t="s">
        <v>622</v>
      </c>
      <c r="D102" s="75" t="s">
        <v>6</v>
      </c>
      <c r="E102" s="76">
        <v>160000</v>
      </c>
      <c r="F102" s="88">
        <v>110000</v>
      </c>
    </row>
    <row r="103" spans="1:6" ht="16.8" x14ac:dyDescent="0.3">
      <c r="A103" s="1">
        <v>90</v>
      </c>
      <c r="B103" s="74" t="s">
        <v>634</v>
      </c>
      <c r="C103" s="74" t="s">
        <v>623</v>
      </c>
      <c r="D103" s="75" t="s">
        <v>6</v>
      </c>
      <c r="E103" s="76">
        <v>170000</v>
      </c>
      <c r="F103" s="88">
        <v>120000</v>
      </c>
    </row>
    <row r="104" spans="1:6" ht="16.8" x14ac:dyDescent="0.3">
      <c r="A104" s="1">
        <v>91</v>
      </c>
      <c r="B104" s="74" t="s">
        <v>635</v>
      </c>
      <c r="C104" s="74" t="s">
        <v>629</v>
      </c>
      <c r="D104" s="75" t="s">
        <v>6</v>
      </c>
      <c r="E104" s="76">
        <v>220000</v>
      </c>
      <c r="F104" s="88">
        <v>170000</v>
      </c>
    </row>
    <row r="105" spans="1:6" ht="16.8" x14ac:dyDescent="0.3">
      <c r="A105" s="1">
        <v>92</v>
      </c>
      <c r="B105" s="74" t="s">
        <v>636</v>
      </c>
      <c r="C105" s="74" t="s">
        <v>624</v>
      </c>
      <c r="D105" s="75" t="s">
        <v>6</v>
      </c>
      <c r="E105" s="76">
        <v>220000</v>
      </c>
      <c r="F105" s="88">
        <v>170000</v>
      </c>
    </row>
    <row r="106" spans="1:6" ht="16.8" x14ac:dyDescent="0.3">
      <c r="A106" s="1">
        <v>93</v>
      </c>
      <c r="B106" s="74" t="s">
        <v>155</v>
      </c>
      <c r="C106" s="74" t="s">
        <v>156</v>
      </c>
      <c r="D106" s="75" t="s">
        <v>6</v>
      </c>
      <c r="E106" s="76">
        <v>40000</v>
      </c>
      <c r="F106" s="88">
        <v>28000</v>
      </c>
    </row>
    <row r="107" spans="1:6" ht="16.8" x14ac:dyDescent="0.3">
      <c r="A107" s="1">
        <v>94</v>
      </c>
      <c r="B107" s="74" t="s">
        <v>157</v>
      </c>
      <c r="C107" s="74" t="s">
        <v>158</v>
      </c>
      <c r="D107" s="75" t="s">
        <v>6</v>
      </c>
      <c r="E107" s="76">
        <v>35000</v>
      </c>
      <c r="F107" s="88">
        <v>24000</v>
      </c>
    </row>
    <row r="108" spans="1:6" ht="16.8" x14ac:dyDescent="0.3">
      <c r="A108" s="1">
        <v>95</v>
      </c>
      <c r="B108" s="74" t="s">
        <v>159</v>
      </c>
      <c r="C108" s="74" t="s">
        <v>160</v>
      </c>
      <c r="D108" s="75" t="s">
        <v>6</v>
      </c>
      <c r="E108" s="76">
        <v>65000</v>
      </c>
      <c r="F108" s="88">
        <v>45000</v>
      </c>
    </row>
    <row r="109" spans="1:6" ht="18.75" customHeight="1" x14ac:dyDescent="0.3">
      <c r="A109" s="111" t="s">
        <v>161</v>
      </c>
      <c r="B109" s="112"/>
      <c r="C109" s="112"/>
      <c r="D109" s="112"/>
      <c r="E109" s="112"/>
      <c r="F109" s="88"/>
    </row>
    <row r="110" spans="1:6" ht="16.8" x14ac:dyDescent="0.3">
      <c r="A110" s="1">
        <v>96</v>
      </c>
      <c r="B110" s="74" t="s">
        <v>363</v>
      </c>
      <c r="C110" s="74" t="s">
        <v>162</v>
      </c>
      <c r="D110" s="75" t="s">
        <v>6</v>
      </c>
      <c r="E110" s="76">
        <v>12000</v>
      </c>
      <c r="F110" s="90">
        <v>10000</v>
      </c>
    </row>
    <row r="111" spans="1:6" ht="16.8" x14ac:dyDescent="0.3">
      <c r="A111" s="1">
        <v>97</v>
      </c>
      <c r="B111" s="74" t="s">
        <v>361</v>
      </c>
      <c r="C111" s="74" t="s">
        <v>163</v>
      </c>
      <c r="D111" s="75" t="s">
        <v>6</v>
      </c>
      <c r="E111" s="76">
        <v>20000</v>
      </c>
      <c r="F111" s="90">
        <v>18000</v>
      </c>
    </row>
    <row r="112" spans="1:6" ht="16.8" x14ac:dyDescent="0.3">
      <c r="A112" s="1">
        <v>98</v>
      </c>
      <c r="B112" s="74" t="s">
        <v>637</v>
      </c>
      <c r="C112" s="74" t="s">
        <v>648</v>
      </c>
      <c r="D112" s="75" t="s">
        <v>6</v>
      </c>
      <c r="E112" s="76">
        <v>28000</v>
      </c>
      <c r="F112" s="90">
        <v>25000</v>
      </c>
    </row>
    <row r="113" spans="1:6" ht="16.8" x14ac:dyDescent="0.3">
      <c r="A113" s="1">
        <v>99</v>
      </c>
      <c r="B113" s="74" t="s">
        <v>362</v>
      </c>
      <c r="C113" s="74" t="s">
        <v>364</v>
      </c>
      <c r="D113" s="75" t="s">
        <v>6</v>
      </c>
      <c r="E113" s="76">
        <v>57000</v>
      </c>
      <c r="F113" s="90">
        <v>53000</v>
      </c>
    </row>
    <row r="114" spans="1:6" ht="16.8" x14ac:dyDescent="0.3">
      <c r="A114" s="1">
        <v>100</v>
      </c>
      <c r="B114" s="74" t="s">
        <v>164</v>
      </c>
      <c r="C114" s="74" t="s">
        <v>365</v>
      </c>
      <c r="D114" s="75" t="s">
        <v>6</v>
      </c>
      <c r="E114" s="76">
        <v>73000</v>
      </c>
      <c r="F114" s="90">
        <v>68000</v>
      </c>
    </row>
    <row r="115" spans="1:6" ht="16.8" x14ac:dyDescent="0.3">
      <c r="A115" s="1">
        <v>101</v>
      </c>
      <c r="B115" s="74" t="s">
        <v>284</v>
      </c>
      <c r="C115" s="74" t="s">
        <v>165</v>
      </c>
      <c r="D115" s="75" t="s">
        <v>6</v>
      </c>
      <c r="E115" s="76">
        <v>90000</v>
      </c>
      <c r="F115" s="90">
        <v>80000</v>
      </c>
    </row>
    <row r="116" spans="1:6" ht="16.8" x14ac:dyDescent="0.3">
      <c r="A116" s="1">
        <v>102</v>
      </c>
      <c r="B116" s="74" t="s">
        <v>539</v>
      </c>
      <c r="C116" s="74" t="s">
        <v>540</v>
      </c>
      <c r="D116" s="75" t="s">
        <v>6</v>
      </c>
      <c r="E116" s="76">
        <v>160000</v>
      </c>
      <c r="F116" s="90">
        <v>140000</v>
      </c>
    </row>
    <row r="117" spans="1:6" ht="18.75" customHeight="1" x14ac:dyDescent="0.3">
      <c r="A117" s="111" t="s">
        <v>166</v>
      </c>
      <c r="B117" s="112"/>
      <c r="C117" s="112"/>
      <c r="D117" s="112"/>
      <c r="E117" s="112"/>
      <c r="F117" s="90"/>
    </row>
    <row r="118" spans="1:6" ht="16.8" x14ac:dyDescent="0.3">
      <c r="A118" s="1">
        <v>103</v>
      </c>
      <c r="B118" s="74" t="s">
        <v>167</v>
      </c>
      <c r="C118" s="74" t="s">
        <v>168</v>
      </c>
      <c r="D118" s="75" t="s">
        <v>6</v>
      </c>
      <c r="E118" s="76">
        <v>40000</v>
      </c>
      <c r="F118" s="90">
        <v>30000</v>
      </c>
    </row>
    <row r="119" spans="1:6" ht="16.8" x14ac:dyDescent="0.3">
      <c r="A119" s="1">
        <v>104</v>
      </c>
      <c r="B119" s="74" t="s">
        <v>169</v>
      </c>
      <c r="C119" s="74" t="s">
        <v>170</v>
      </c>
      <c r="D119" s="75" t="s">
        <v>6</v>
      </c>
      <c r="E119" s="76">
        <v>42000</v>
      </c>
      <c r="F119" s="90">
        <v>32000</v>
      </c>
    </row>
    <row r="120" spans="1:6" ht="18.75" customHeight="1" x14ac:dyDescent="0.3">
      <c r="A120" s="111" t="s">
        <v>171</v>
      </c>
      <c r="B120" s="112"/>
      <c r="C120" s="112"/>
      <c r="D120" s="112"/>
      <c r="E120" s="112"/>
      <c r="F120" s="88"/>
    </row>
    <row r="121" spans="1:6" ht="16.8" x14ac:dyDescent="0.3">
      <c r="A121" s="1">
        <v>105</v>
      </c>
      <c r="B121" s="74" t="s">
        <v>172</v>
      </c>
      <c r="C121" s="74" t="s">
        <v>173</v>
      </c>
      <c r="D121" s="75" t="s">
        <v>6</v>
      </c>
      <c r="E121" s="76">
        <f>IF(VLOOKUP(C121,'[1]HH full'!$C$2:$K$295,6,0)=0,"",VLOOKUP(C121,'[1]HH full'!$C$2:$K$295,6,0))</f>
        <v>245000</v>
      </c>
      <c r="F121" s="88">
        <v>200000</v>
      </c>
    </row>
    <row r="122" spans="1:6" ht="16.8" x14ac:dyDescent="0.3">
      <c r="A122" s="1">
        <v>106</v>
      </c>
      <c r="B122" s="74" t="s">
        <v>174</v>
      </c>
      <c r="C122" s="74" t="s">
        <v>175</v>
      </c>
      <c r="D122" s="75" t="s">
        <v>6</v>
      </c>
      <c r="E122" s="76">
        <f>IF(VLOOKUP(C122,'[1]HH full'!$C$2:$K$295,6,0)=0,"",VLOOKUP(C122,'[1]HH full'!$C$2:$K$295,6,0))</f>
        <v>255000</v>
      </c>
      <c r="F122" s="88">
        <v>210000</v>
      </c>
    </row>
    <row r="123" spans="1:6" ht="18.75" customHeight="1" x14ac:dyDescent="0.3">
      <c r="A123" s="111" t="s">
        <v>176</v>
      </c>
      <c r="B123" s="112"/>
      <c r="C123" s="112"/>
      <c r="D123" s="112"/>
      <c r="E123" s="112"/>
      <c r="F123" s="88"/>
    </row>
    <row r="124" spans="1:6" ht="16.8" x14ac:dyDescent="0.3">
      <c r="A124" s="1">
        <v>107</v>
      </c>
      <c r="B124" s="74" t="s">
        <v>649</v>
      </c>
      <c r="C124" s="74" t="s">
        <v>177</v>
      </c>
      <c r="D124" s="75" t="s">
        <v>6</v>
      </c>
      <c r="E124" s="76">
        <v>60000</v>
      </c>
      <c r="F124" s="88">
        <v>43000</v>
      </c>
    </row>
    <row r="125" spans="1:6" ht="16.8" x14ac:dyDescent="0.3">
      <c r="A125" s="1">
        <v>108</v>
      </c>
      <c r="B125" s="74" t="s">
        <v>650</v>
      </c>
      <c r="C125" s="74" t="s">
        <v>178</v>
      </c>
      <c r="D125" s="75" t="s">
        <v>6</v>
      </c>
      <c r="E125" s="76">
        <v>70000</v>
      </c>
      <c r="F125" s="88">
        <v>53000</v>
      </c>
    </row>
    <row r="126" spans="1:6" ht="16.8" x14ac:dyDescent="0.3">
      <c r="A126" s="1">
        <v>109</v>
      </c>
      <c r="B126" s="74" t="s">
        <v>651</v>
      </c>
      <c r="C126" s="74" t="s">
        <v>179</v>
      </c>
      <c r="D126" s="75" t="s">
        <v>6</v>
      </c>
      <c r="E126" s="76">
        <v>57000</v>
      </c>
      <c r="F126" s="88">
        <v>40000</v>
      </c>
    </row>
    <row r="127" spans="1:6" ht="16.8" x14ac:dyDescent="0.3">
      <c r="A127" s="1">
        <v>110</v>
      </c>
      <c r="B127" s="74" t="s">
        <v>652</v>
      </c>
      <c r="C127" s="74" t="s">
        <v>180</v>
      </c>
      <c r="D127" s="75" t="s">
        <v>6</v>
      </c>
      <c r="E127" s="76">
        <v>105000</v>
      </c>
      <c r="F127" s="88">
        <v>85000</v>
      </c>
    </row>
    <row r="128" spans="1:6" ht="16.8" x14ac:dyDescent="0.3">
      <c r="A128" s="1">
        <v>111</v>
      </c>
      <c r="B128" s="74" t="s">
        <v>653</v>
      </c>
      <c r="C128" s="74" t="s">
        <v>181</v>
      </c>
      <c r="D128" s="75" t="s">
        <v>6</v>
      </c>
      <c r="E128" s="76">
        <v>52000</v>
      </c>
      <c r="F128" s="88">
        <v>35000</v>
      </c>
    </row>
    <row r="129" spans="1:7" ht="16.8" x14ac:dyDescent="0.3">
      <c r="A129" s="1">
        <v>112</v>
      </c>
      <c r="B129" s="74" t="s">
        <v>654</v>
      </c>
      <c r="C129" s="74" t="s">
        <v>182</v>
      </c>
      <c r="D129" s="75" t="s">
        <v>6</v>
      </c>
      <c r="E129" s="76">
        <v>62000</v>
      </c>
      <c r="F129" s="88">
        <v>45000</v>
      </c>
    </row>
    <row r="130" spans="1:7" ht="16.8" x14ac:dyDescent="0.3">
      <c r="A130" s="1">
        <v>113</v>
      </c>
      <c r="B130" s="74" t="s">
        <v>655</v>
      </c>
      <c r="C130" s="74" t="s">
        <v>183</v>
      </c>
      <c r="D130" s="75" t="s">
        <v>6</v>
      </c>
      <c r="E130" s="76">
        <v>95000</v>
      </c>
      <c r="F130" s="88">
        <v>65000</v>
      </c>
    </row>
    <row r="131" spans="1:7" s="43" customFormat="1" ht="15.75" customHeight="1" x14ac:dyDescent="0.3">
      <c r="A131" s="1">
        <v>114</v>
      </c>
      <c r="B131" s="4" t="s">
        <v>638</v>
      </c>
      <c r="C131" s="4" t="s">
        <v>639</v>
      </c>
      <c r="D131" s="3" t="s">
        <v>6</v>
      </c>
      <c r="E131" s="5">
        <v>190000</v>
      </c>
      <c r="F131" s="46">
        <v>120000</v>
      </c>
    </row>
    <row r="132" spans="1:7" s="43" customFormat="1" ht="15.75" customHeight="1" x14ac:dyDescent="0.3">
      <c r="A132" s="1">
        <v>115</v>
      </c>
      <c r="B132" s="4" t="s">
        <v>640</v>
      </c>
      <c r="C132" s="4" t="s">
        <v>641</v>
      </c>
      <c r="D132" s="3" t="s">
        <v>6</v>
      </c>
      <c r="E132" s="5">
        <v>200000</v>
      </c>
      <c r="F132" s="46">
        <v>130000</v>
      </c>
    </row>
    <row r="133" spans="1:7" s="43" customFormat="1" ht="18.75" customHeight="1" x14ac:dyDescent="0.3">
      <c r="A133" s="1">
        <v>116</v>
      </c>
      <c r="B133" s="4" t="s">
        <v>642</v>
      </c>
      <c r="C133" s="4" t="s">
        <v>643</v>
      </c>
      <c r="D133" s="3" t="s">
        <v>6</v>
      </c>
      <c r="E133" s="5">
        <v>220000</v>
      </c>
      <c r="F133" s="86">
        <v>130000</v>
      </c>
    </row>
    <row r="134" spans="1:7" ht="18.75" customHeight="1" x14ac:dyDescent="0.3">
      <c r="A134" s="111" t="s">
        <v>184</v>
      </c>
      <c r="B134" s="112"/>
      <c r="C134" s="112"/>
      <c r="D134" s="112"/>
      <c r="E134" s="112"/>
      <c r="F134" s="86"/>
    </row>
    <row r="135" spans="1:7" ht="16.8" x14ac:dyDescent="0.3">
      <c r="A135" s="1">
        <v>117</v>
      </c>
      <c r="B135" s="74" t="s">
        <v>185</v>
      </c>
      <c r="C135" s="74" t="s">
        <v>186</v>
      </c>
      <c r="D135" s="84" t="s">
        <v>644</v>
      </c>
      <c r="E135" s="83">
        <v>75000</v>
      </c>
      <c r="F135" s="90">
        <v>65000</v>
      </c>
    </row>
    <row r="136" spans="1:7" ht="16.8" x14ac:dyDescent="0.3">
      <c r="A136" s="1">
        <v>118</v>
      </c>
      <c r="B136" s="74" t="s">
        <v>187</v>
      </c>
      <c r="C136" s="74" t="s">
        <v>188</v>
      </c>
      <c r="D136" s="84" t="s">
        <v>644</v>
      </c>
      <c r="E136" s="83">
        <v>60000</v>
      </c>
      <c r="F136" s="90">
        <v>50000</v>
      </c>
    </row>
    <row r="137" spans="1:7" ht="16.8" x14ac:dyDescent="0.3">
      <c r="A137" s="1">
        <v>119</v>
      </c>
      <c r="B137" s="74" t="s">
        <v>189</v>
      </c>
      <c r="C137" s="74" t="s">
        <v>190</v>
      </c>
      <c r="D137" s="84" t="s">
        <v>644</v>
      </c>
      <c r="E137" s="83">
        <v>130000</v>
      </c>
      <c r="F137" s="90">
        <v>116000</v>
      </c>
    </row>
    <row r="138" spans="1:7" ht="18.75" customHeight="1" x14ac:dyDescent="0.3">
      <c r="A138" s="1">
        <v>120</v>
      </c>
      <c r="B138" s="74" t="s">
        <v>191</v>
      </c>
      <c r="C138" s="74" t="s">
        <v>192</v>
      </c>
      <c r="D138" s="84" t="s">
        <v>644</v>
      </c>
      <c r="E138" s="83">
        <v>100000</v>
      </c>
      <c r="F138" s="90">
        <v>82000</v>
      </c>
    </row>
    <row r="139" spans="1:7" ht="16.8" x14ac:dyDescent="0.3">
      <c r="A139" s="1">
        <v>121</v>
      </c>
      <c r="B139" s="74" t="s">
        <v>193</v>
      </c>
      <c r="C139" s="74" t="s">
        <v>194</v>
      </c>
      <c r="D139" s="84" t="s">
        <v>644</v>
      </c>
      <c r="E139" s="83">
        <v>90000</v>
      </c>
      <c r="F139" s="90">
        <v>78000</v>
      </c>
    </row>
    <row r="140" spans="1:7" ht="16.8" x14ac:dyDescent="0.3">
      <c r="A140" s="1">
        <v>122</v>
      </c>
      <c r="B140" s="74" t="s">
        <v>285</v>
      </c>
      <c r="C140" s="74" t="s">
        <v>286</v>
      </c>
      <c r="D140" s="84" t="s">
        <v>644</v>
      </c>
      <c r="E140" s="83">
        <v>160000</v>
      </c>
      <c r="F140" s="91">
        <v>146000</v>
      </c>
    </row>
    <row r="141" spans="1:7" ht="33.6" x14ac:dyDescent="0.3">
      <c r="A141" s="1">
        <v>123</v>
      </c>
      <c r="B141" s="74" t="s">
        <v>658</v>
      </c>
      <c r="C141" s="74" t="s">
        <v>656</v>
      </c>
      <c r="D141" s="84" t="s">
        <v>644</v>
      </c>
      <c r="E141" s="83">
        <v>190000</v>
      </c>
      <c r="F141" s="91">
        <v>166000</v>
      </c>
    </row>
    <row r="142" spans="1:7" ht="18.75" customHeight="1" x14ac:dyDescent="0.3">
      <c r="A142" s="111" t="s">
        <v>195</v>
      </c>
      <c r="B142" s="112"/>
      <c r="C142" s="112"/>
      <c r="D142" s="112"/>
      <c r="E142" s="112"/>
      <c r="F142" s="88"/>
      <c r="G142" s="13"/>
    </row>
    <row r="143" spans="1:7" ht="16.8" x14ac:dyDescent="0.3">
      <c r="A143" s="1">
        <v>124</v>
      </c>
      <c r="B143" s="74" t="s">
        <v>196</v>
      </c>
      <c r="C143" s="74" t="s">
        <v>197</v>
      </c>
      <c r="D143" s="75" t="s">
        <v>644</v>
      </c>
      <c r="E143" s="83">
        <v>53000</v>
      </c>
      <c r="F143" s="90">
        <v>40000</v>
      </c>
      <c r="G143" s="13"/>
    </row>
    <row r="144" spans="1:7" ht="16.8" x14ac:dyDescent="0.3">
      <c r="A144" s="1">
        <v>125</v>
      </c>
      <c r="B144" s="74" t="s">
        <v>198</v>
      </c>
      <c r="C144" s="74" t="s">
        <v>199</v>
      </c>
      <c r="D144" s="75" t="s">
        <v>644</v>
      </c>
      <c r="E144" s="83">
        <v>70000</v>
      </c>
      <c r="F144" s="90">
        <v>58000</v>
      </c>
    </row>
    <row r="145" spans="1:6" ht="16.8" x14ac:dyDescent="0.3">
      <c r="A145" s="1">
        <v>126</v>
      </c>
      <c r="B145" s="74" t="s">
        <v>659</v>
      </c>
      <c r="C145" s="74" t="s">
        <v>657</v>
      </c>
      <c r="D145" s="75" t="s">
        <v>644</v>
      </c>
      <c r="E145" s="83">
        <v>95000</v>
      </c>
      <c r="F145" s="90">
        <v>78000</v>
      </c>
    </row>
    <row r="146" spans="1:6" ht="16.8" x14ac:dyDescent="0.3">
      <c r="A146" s="1">
        <v>127</v>
      </c>
      <c r="B146" s="74" t="s">
        <v>200</v>
      </c>
      <c r="C146" s="74" t="s">
        <v>201</v>
      </c>
      <c r="D146" s="75" t="s">
        <v>644</v>
      </c>
      <c r="E146" s="83">
        <v>53000</v>
      </c>
      <c r="F146" s="90">
        <v>40000</v>
      </c>
    </row>
    <row r="147" spans="1:6" ht="16.8" x14ac:dyDescent="0.3">
      <c r="A147" s="1">
        <v>128</v>
      </c>
      <c r="B147" s="74" t="s">
        <v>202</v>
      </c>
      <c r="C147" s="74" t="s">
        <v>203</v>
      </c>
      <c r="D147" s="75" t="s">
        <v>644</v>
      </c>
      <c r="E147" s="83">
        <v>70000</v>
      </c>
      <c r="F147" s="90">
        <v>63000</v>
      </c>
    </row>
    <row r="148" spans="1:6" ht="16.8" x14ac:dyDescent="0.3">
      <c r="A148" s="1">
        <v>129</v>
      </c>
      <c r="B148" s="74" t="s">
        <v>647</v>
      </c>
      <c r="C148" s="74" t="s">
        <v>666</v>
      </c>
      <c r="D148" s="75" t="s">
        <v>644</v>
      </c>
      <c r="E148" s="83">
        <v>90000</v>
      </c>
      <c r="F148" s="90">
        <v>83000</v>
      </c>
    </row>
    <row r="149" spans="1:6" ht="16.8" x14ac:dyDescent="0.3">
      <c r="A149" s="1">
        <v>130</v>
      </c>
      <c r="B149" s="74" t="s">
        <v>204</v>
      </c>
      <c r="C149" s="74" t="s">
        <v>205</v>
      </c>
      <c r="D149" s="75" t="s">
        <v>644</v>
      </c>
      <c r="E149" s="83">
        <v>53000</v>
      </c>
      <c r="F149" s="90">
        <v>38000</v>
      </c>
    </row>
    <row r="150" spans="1:6" ht="16.8" x14ac:dyDescent="0.3">
      <c r="A150" s="1">
        <v>131</v>
      </c>
      <c r="B150" s="74" t="s">
        <v>206</v>
      </c>
      <c r="C150" s="74" t="s">
        <v>207</v>
      </c>
      <c r="D150" s="75" t="s">
        <v>644</v>
      </c>
      <c r="E150" s="79">
        <v>90000</v>
      </c>
      <c r="F150" s="90">
        <v>80000</v>
      </c>
    </row>
    <row r="151" spans="1:6" ht="16.8" x14ac:dyDescent="0.3">
      <c r="A151" s="1">
        <v>132</v>
      </c>
      <c r="B151" s="74" t="s">
        <v>662</v>
      </c>
      <c r="C151" s="74" t="s">
        <v>208</v>
      </c>
      <c r="D151" s="75" t="s">
        <v>6</v>
      </c>
      <c r="E151" s="79">
        <v>2800</v>
      </c>
      <c r="F151" s="90">
        <v>2300</v>
      </c>
    </row>
    <row r="152" spans="1:6" ht="16.8" x14ac:dyDescent="0.3">
      <c r="A152" s="1">
        <v>133</v>
      </c>
      <c r="B152" s="74" t="s">
        <v>663</v>
      </c>
      <c r="C152" s="74" t="s">
        <v>667</v>
      </c>
      <c r="D152" s="75" t="s">
        <v>6</v>
      </c>
      <c r="E152" s="79">
        <v>3400</v>
      </c>
      <c r="F152" s="90">
        <v>3000</v>
      </c>
    </row>
    <row r="153" spans="1:6" ht="16.5" customHeight="1" x14ac:dyDescent="0.3">
      <c r="A153" s="1">
        <v>134</v>
      </c>
      <c r="B153" s="74" t="s">
        <v>209</v>
      </c>
      <c r="C153" s="74" t="s">
        <v>210</v>
      </c>
      <c r="D153" s="75" t="s">
        <v>645</v>
      </c>
      <c r="E153" s="79">
        <v>53000</v>
      </c>
      <c r="F153" s="90">
        <v>35000</v>
      </c>
    </row>
    <row r="154" spans="1:6" ht="16.8" x14ac:dyDescent="0.3">
      <c r="A154" s="1">
        <v>135</v>
      </c>
      <c r="B154" s="74" t="s">
        <v>660</v>
      </c>
      <c r="C154" s="74" t="s">
        <v>211</v>
      </c>
      <c r="D154" s="75" t="s">
        <v>646</v>
      </c>
      <c r="E154" s="79">
        <v>90000</v>
      </c>
      <c r="F154" s="90">
        <v>67000</v>
      </c>
    </row>
    <row r="155" spans="1:6" ht="16.8" x14ac:dyDescent="0.3">
      <c r="A155" s="1">
        <v>136</v>
      </c>
      <c r="B155" s="74" t="s">
        <v>661</v>
      </c>
      <c r="C155" s="74" t="s">
        <v>665</v>
      </c>
      <c r="D155" s="85" t="s">
        <v>644</v>
      </c>
      <c r="E155" s="79">
        <v>90000</v>
      </c>
      <c r="F155" s="90">
        <v>67000</v>
      </c>
    </row>
    <row r="156" spans="1:6" ht="16.8" x14ac:dyDescent="0.3">
      <c r="A156" s="1">
        <v>137</v>
      </c>
      <c r="B156" s="74" t="s">
        <v>212</v>
      </c>
      <c r="C156" s="74" t="s">
        <v>213</v>
      </c>
      <c r="D156" s="75" t="s">
        <v>214</v>
      </c>
      <c r="E156" s="79">
        <v>110000</v>
      </c>
      <c r="F156" s="90">
        <v>85000</v>
      </c>
    </row>
    <row r="157" spans="1:6" ht="16.8" x14ac:dyDescent="0.3">
      <c r="A157" s="1">
        <v>138</v>
      </c>
      <c r="B157" s="74" t="s">
        <v>215</v>
      </c>
      <c r="C157" s="74" t="s">
        <v>216</v>
      </c>
      <c r="D157" s="75" t="s">
        <v>217</v>
      </c>
      <c r="E157" s="79">
        <v>400</v>
      </c>
      <c r="F157" s="90">
        <v>270</v>
      </c>
    </row>
    <row r="158" spans="1:6" ht="16.8" x14ac:dyDescent="0.3">
      <c r="A158" s="1">
        <v>139</v>
      </c>
      <c r="B158" s="74" t="s">
        <v>218</v>
      </c>
      <c r="C158" s="74" t="s">
        <v>219</v>
      </c>
      <c r="D158" s="75" t="s">
        <v>217</v>
      </c>
      <c r="E158" s="79">
        <v>400</v>
      </c>
      <c r="F158" s="90">
        <v>270</v>
      </c>
    </row>
    <row r="159" spans="1:6" ht="16.8" x14ac:dyDescent="0.3">
      <c r="A159" s="111" t="s">
        <v>220</v>
      </c>
      <c r="B159" s="112"/>
      <c r="C159" s="112"/>
      <c r="D159" s="112"/>
      <c r="E159" s="112"/>
      <c r="F159" s="86"/>
    </row>
    <row r="160" spans="1:6" ht="16.8" x14ac:dyDescent="0.3">
      <c r="A160" s="1">
        <v>140</v>
      </c>
      <c r="B160" s="74" t="s">
        <v>230</v>
      </c>
      <c r="C160" s="74" t="s">
        <v>231</v>
      </c>
      <c r="D160" s="75" t="s">
        <v>221</v>
      </c>
      <c r="E160" s="76">
        <v>10000</v>
      </c>
      <c r="F160" s="90">
        <v>8300</v>
      </c>
    </row>
    <row r="161" spans="1:6" ht="16.8" x14ac:dyDescent="0.3">
      <c r="A161" s="1">
        <v>141</v>
      </c>
      <c r="B161" s="74" t="s">
        <v>222</v>
      </c>
      <c r="C161" s="74" t="s">
        <v>223</v>
      </c>
      <c r="D161" s="75" t="s">
        <v>221</v>
      </c>
      <c r="E161" s="76">
        <v>12000</v>
      </c>
      <c r="F161" s="90">
        <v>10200</v>
      </c>
    </row>
    <row r="162" spans="1:6" ht="18.75" customHeight="1" x14ac:dyDescent="0.3">
      <c r="A162" s="111" t="s">
        <v>224</v>
      </c>
      <c r="B162" s="112"/>
      <c r="C162" s="112"/>
      <c r="D162" s="112"/>
      <c r="E162" s="112"/>
      <c r="F162" s="86"/>
    </row>
    <row r="163" spans="1:6" ht="16.8" x14ac:dyDescent="0.3">
      <c r="A163" s="1">
        <v>142</v>
      </c>
      <c r="B163" s="74" t="s">
        <v>225</v>
      </c>
      <c r="C163" s="74" t="s">
        <v>226</v>
      </c>
      <c r="D163" s="75" t="s">
        <v>227</v>
      </c>
      <c r="E163" s="76">
        <v>38000</v>
      </c>
      <c r="F163" s="88">
        <v>29000</v>
      </c>
    </row>
    <row r="164" spans="1:6" ht="16.8" x14ac:dyDescent="0.3">
      <c r="A164" s="1">
        <v>143</v>
      </c>
      <c r="B164" s="74" t="s">
        <v>228</v>
      </c>
      <c r="C164" s="74" t="s">
        <v>229</v>
      </c>
      <c r="D164" s="75" t="s">
        <v>227</v>
      </c>
      <c r="E164" s="76">
        <v>43000</v>
      </c>
      <c r="F164" s="88">
        <v>33000</v>
      </c>
    </row>
    <row r="166" spans="1:6" x14ac:dyDescent="0.3">
      <c r="A166" s="95" t="s">
        <v>928</v>
      </c>
      <c r="B166" s="95"/>
      <c r="C166" s="95"/>
      <c r="D166" s="95"/>
      <c r="E166" s="95"/>
      <c r="F166" s="1"/>
    </row>
    <row r="167" spans="1:6" x14ac:dyDescent="0.3">
      <c r="A167" s="95"/>
      <c r="B167" s="95"/>
      <c r="C167" s="95"/>
      <c r="D167" s="95"/>
      <c r="E167" s="95"/>
      <c r="F167" s="1"/>
    </row>
    <row r="168" spans="1:6" x14ac:dyDescent="0.3">
      <c r="A168" s="95"/>
      <c r="B168" s="95"/>
      <c r="C168" s="95"/>
      <c r="D168" s="95"/>
      <c r="E168" s="95"/>
      <c r="F168" s="1"/>
    </row>
    <row r="169" spans="1:6" x14ac:dyDescent="0.3">
      <c r="A169" s="96"/>
      <c r="B169" s="96"/>
      <c r="C169" s="96"/>
      <c r="D169" s="96"/>
      <c r="E169" s="96"/>
    </row>
    <row r="170" spans="1:6" x14ac:dyDescent="0.3">
      <c r="A170" s="96"/>
      <c r="B170" s="96"/>
      <c r="C170" s="96"/>
      <c r="D170" s="96"/>
      <c r="E170" s="96"/>
    </row>
    <row r="171" spans="1:6" x14ac:dyDescent="0.3">
      <c r="A171" s="96"/>
      <c r="B171" s="96"/>
      <c r="C171" s="96"/>
      <c r="D171" s="96"/>
      <c r="E171" s="96"/>
    </row>
    <row r="172" spans="1:6" x14ac:dyDescent="0.3">
      <c r="A172" s="96"/>
      <c r="B172" s="96"/>
      <c r="C172" s="96"/>
      <c r="D172" s="96"/>
      <c r="E172" s="96"/>
    </row>
    <row r="173" spans="1:6" x14ac:dyDescent="0.3">
      <c r="A173" s="96"/>
      <c r="B173" s="96"/>
      <c r="C173" s="96"/>
      <c r="D173" s="96"/>
      <c r="E173" s="96"/>
    </row>
    <row r="174" spans="1:6" x14ac:dyDescent="0.3">
      <c r="A174" s="96"/>
      <c r="B174" s="96"/>
      <c r="C174" s="96"/>
      <c r="D174" s="96"/>
      <c r="E174" s="96"/>
    </row>
    <row r="175" spans="1:6" x14ac:dyDescent="0.3">
      <c r="A175" s="96"/>
      <c r="B175" s="96"/>
      <c r="C175" s="96"/>
      <c r="D175" s="96"/>
      <c r="E175" s="96"/>
    </row>
    <row r="176" spans="1:6" x14ac:dyDescent="0.3">
      <c r="A176" s="96"/>
      <c r="B176" s="96"/>
      <c r="C176" s="96"/>
      <c r="D176" s="96"/>
      <c r="E176" s="96"/>
    </row>
    <row r="177" spans="1:5" x14ac:dyDescent="0.3">
      <c r="A177" s="96"/>
      <c r="B177" s="96"/>
      <c r="C177" s="96"/>
      <c r="D177" s="96"/>
      <c r="E177" s="96"/>
    </row>
    <row r="178" spans="1:5" x14ac:dyDescent="0.3">
      <c r="A178" s="96"/>
      <c r="B178" s="96"/>
      <c r="C178" s="96"/>
      <c r="D178" s="96"/>
      <c r="E178" s="96"/>
    </row>
    <row r="179" spans="1:5" x14ac:dyDescent="0.3">
      <c r="A179" s="96"/>
      <c r="B179" s="96"/>
      <c r="C179" s="96"/>
      <c r="D179" s="96"/>
      <c r="E179" s="96"/>
    </row>
    <row r="180" spans="1:5" x14ac:dyDescent="0.3">
      <c r="A180" s="96"/>
      <c r="B180" s="96"/>
      <c r="C180" s="96"/>
      <c r="D180" s="96"/>
      <c r="E180" s="96"/>
    </row>
    <row r="181" spans="1:5" x14ac:dyDescent="0.3">
      <c r="A181" s="96"/>
      <c r="B181" s="96"/>
      <c r="C181" s="96"/>
      <c r="D181" s="96"/>
      <c r="E181" s="96"/>
    </row>
    <row r="182" spans="1:5" x14ac:dyDescent="0.3">
      <c r="A182" s="96"/>
      <c r="B182" s="96"/>
      <c r="C182" s="96"/>
      <c r="D182" s="96"/>
      <c r="E182" s="96"/>
    </row>
    <row r="183" spans="1:5" x14ac:dyDescent="0.3">
      <c r="A183" s="96"/>
      <c r="B183" s="96"/>
      <c r="C183" s="96"/>
      <c r="D183" s="96"/>
      <c r="E183" s="96"/>
    </row>
    <row r="184" spans="1:5" x14ac:dyDescent="0.3">
      <c r="A184" s="96"/>
      <c r="B184" s="96"/>
      <c r="C184" s="96"/>
      <c r="D184" s="96"/>
      <c r="E184" s="96"/>
    </row>
    <row r="185" spans="1:5" x14ac:dyDescent="0.3">
      <c r="A185" s="96"/>
      <c r="B185" s="96"/>
      <c r="C185" s="96"/>
      <c r="D185" s="96"/>
      <c r="E185" s="96"/>
    </row>
    <row r="186" spans="1:5" x14ac:dyDescent="0.3">
      <c r="A186" s="96"/>
      <c r="B186" s="96"/>
      <c r="C186" s="96"/>
      <c r="D186" s="96"/>
      <c r="E186" s="96"/>
    </row>
    <row r="187" spans="1:5" x14ac:dyDescent="0.3">
      <c r="A187" s="96"/>
      <c r="B187" s="96"/>
      <c r="C187" s="96"/>
      <c r="D187" s="96"/>
      <c r="E187" s="96"/>
    </row>
    <row r="188" spans="1:5" x14ac:dyDescent="0.3">
      <c r="A188" s="96"/>
      <c r="B188" s="96"/>
      <c r="C188" s="96"/>
      <c r="D188" s="96"/>
      <c r="E188" s="96"/>
    </row>
    <row r="189" spans="1:5" x14ac:dyDescent="0.3">
      <c r="A189" s="96"/>
      <c r="B189" s="96"/>
      <c r="C189" s="96"/>
      <c r="D189" s="96"/>
      <c r="E189" s="96"/>
    </row>
    <row r="190" spans="1:5" x14ac:dyDescent="0.3">
      <c r="A190" s="96"/>
      <c r="B190" s="96"/>
      <c r="C190" s="96"/>
      <c r="D190" s="96"/>
      <c r="E190" s="96"/>
    </row>
    <row r="191" spans="1:5" x14ac:dyDescent="0.3">
      <c r="A191" s="96"/>
      <c r="B191" s="96"/>
      <c r="C191" s="96"/>
      <c r="D191" s="96"/>
      <c r="E191" s="96"/>
    </row>
    <row r="192" spans="1:5" x14ac:dyDescent="0.3">
      <c r="A192" s="96"/>
      <c r="B192" s="96"/>
      <c r="C192" s="96"/>
      <c r="D192" s="96"/>
      <c r="E192" s="96"/>
    </row>
    <row r="193" spans="1:5" x14ac:dyDescent="0.3">
      <c r="A193" s="96"/>
      <c r="B193" s="96"/>
      <c r="C193" s="96"/>
      <c r="D193" s="96"/>
      <c r="E193" s="96"/>
    </row>
    <row r="194" spans="1:5" x14ac:dyDescent="0.3">
      <c r="A194" s="96"/>
      <c r="B194" s="96"/>
      <c r="C194" s="96"/>
      <c r="D194" s="96"/>
      <c r="E194" s="96"/>
    </row>
    <row r="195" spans="1:5" x14ac:dyDescent="0.3">
      <c r="A195" s="96"/>
      <c r="B195" s="96"/>
      <c r="C195" s="96"/>
      <c r="D195" s="96"/>
      <c r="E195" s="96"/>
    </row>
    <row r="196" spans="1:5" x14ac:dyDescent="0.3">
      <c r="A196" s="96"/>
      <c r="B196" s="96"/>
      <c r="C196" s="96"/>
      <c r="D196" s="96"/>
      <c r="E196" s="96"/>
    </row>
    <row r="197" spans="1:5" x14ac:dyDescent="0.3">
      <c r="A197" s="96"/>
      <c r="B197" s="96"/>
      <c r="C197" s="96"/>
      <c r="D197" s="96"/>
      <c r="E197" s="96"/>
    </row>
    <row r="198" spans="1:5" x14ac:dyDescent="0.3">
      <c r="A198" s="96"/>
      <c r="B198" s="96"/>
      <c r="C198" s="96"/>
      <c r="D198" s="96"/>
      <c r="E198" s="96"/>
    </row>
    <row r="199" spans="1:5" x14ac:dyDescent="0.3">
      <c r="A199" s="96"/>
      <c r="B199" s="96"/>
      <c r="C199" s="96"/>
      <c r="D199" s="96"/>
      <c r="E199" s="96"/>
    </row>
    <row r="200" spans="1:5" x14ac:dyDescent="0.3">
      <c r="A200" s="96"/>
      <c r="B200" s="96"/>
      <c r="C200" s="96"/>
      <c r="D200" s="96"/>
      <c r="E200" s="96"/>
    </row>
    <row r="201" spans="1:5" x14ac:dyDescent="0.3">
      <c r="A201" s="96"/>
      <c r="B201" s="96"/>
      <c r="C201" s="96"/>
      <c r="D201" s="96"/>
      <c r="E201" s="96"/>
    </row>
    <row r="202" spans="1:5" x14ac:dyDescent="0.3">
      <c r="A202" s="96"/>
      <c r="B202" s="96"/>
      <c r="C202" s="96"/>
      <c r="D202" s="96"/>
      <c r="E202" s="96"/>
    </row>
    <row r="203" spans="1:5" x14ac:dyDescent="0.3">
      <c r="A203" s="96"/>
      <c r="B203" s="96"/>
      <c r="C203" s="96"/>
      <c r="D203" s="96"/>
      <c r="E203" s="96"/>
    </row>
    <row r="204" spans="1:5" x14ac:dyDescent="0.3">
      <c r="A204" s="96"/>
      <c r="B204" s="96"/>
      <c r="C204" s="96"/>
      <c r="D204" s="96"/>
      <c r="E204" s="96"/>
    </row>
    <row r="205" spans="1:5" x14ac:dyDescent="0.3">
      <c r="A205" s="96"/>
      <c r="B205" s="96"/>
      <c r="C205" s="96"/>
      <c r="D205" s="96"/>
      <c r="E205" s="96"/>
    </row>
    <row r="206" spans="1:5" x14ac:dyDescent="0.3">
      <c r="A206" s="96"/>
      <c r="B206" s="96"/>
      <c r="C206" s="96"/>
      <c r="D206" s="96"/>
      <c r="E206" s="96"/>
    </row>
    <row r="207" spans="1:5" x14ac:dyDescent="0.3">
      <c r="A207" s="96"/>
      <c r="B207" s="96"/>
      <c r="C207" s="96"/>
      <c r="D207" s="96"/>
      <c r="E207" s="96"/>
    </row>
    <row r="208" spans="1:5" x14ac:dyDescent="0.3">
      <c r="A208" s="96"/>
      <c r="B208" s="96"/>
      <c r="C208" s="96"/>
      <c r="D208" s="96"/>
      <c r="E208" s="96"/>
    </row>
    <row r="209" spans="1:5" x14ac:dyDescent="0.3">
      <c r="A209" s="96"/>
      <c r="B209" s="96"/>
      <c r="C209" s="96"/>
      <c r="D209" s="96"/>
      <c r="E209" s="96"/>
    </row>
    <row r="210" spans="1:5" x14ac:dyDescent="0.3">
      <c r="A210" s="96"/>
      <c r="B210" s="96"/>
      <c r="C210" s="96"/>
      <c r="D210" s="96"/>
      <c r="E210" s="96"/>
    </row>
    <row r="211" spans="1:5" x14ac:dyDescent="0.3">
      <c r="A211" s="96"/>
      <c r="B211" s="96"/>
      <c r="C211" s="96"/>
      <c r="D211" s="96"/>
      <c r="E211" s="96"/>
    </row>
    <row r="212" spans="1:5" x14ac:dyDescent="0.3">
      <c r="A212" s="96"/>
      <c r="B212" s="96"/>
      <c r="C212" s="96"/>
      <c r="D212" s="96"/>
      <c r="E212" s="96"/>
    </row>
    <row r="213" spans="1:5" x14ac:dyDescent="0.3">
      <c r="A213" s="96"/>
      <c r="B213" s="96"/>
      <c r="C213" s="96"/>
      <c r="D213" s="96"/>
      <c r="E213" s="96"/>
    </row>
    <row r="214" spans="1:5" x14ac:dyDescent="0.3">
      <c r="A214" s="96"/>
      <c r="B214" s="96"/>
      <c r="C214" s="96"/>
      <c r="D214" s="96"/>
      <c r="E214" s="96"/>
    </row>
    <row r="215" spans="1:5" x14ac:dyDescent="0.3">
      <c r="A215" s="96"/>
      <c r="B215" s="96"/>
      <c r="C215" s="96"/>
      <c r="D215" s="96"/>
      <c r="E215" s="96"/>
    </row>
    <row r="216" spans="1:5" x14ac:dyDescent="0.3">
      <c r="A216" s="96"/>
      <c r="B216" s="96"/>
      <c r="C216" s="96"/>
      <c r="D216" s="96"/>
      <c r="E216" s="96"/>
    </row>
    <row r="217" spans="1:5" x14ac:dyDescent="0.3">
      <c r="A217" s="96"/>
      <c r="B217" s="96"/>
      <c r="C217" s="96"/>
      <c r="D217" s="96"/>
      <c r="E217" s="96"/>
    </row>
    <row r="218" spans="1:5" x14ac:dyDescent="0.3">
      <c r="A218" s="96"/>
      <c r="B218" s="96"/>
      <c r="C218" s="96"/>
      <c r="D218" s="96"/>
      <c r="E218" s="96"/>
    </row>
    <row r="219" spans="1:5" x14ac:dyDescent="0.3">
      <c r="A219" s="96"/>
      <c r="B219" s="96"/>
      <c r="C219" s="96"/>
      <c r="D219" s="96"/>
      <c r="E219" s="96"/>
    </row>
    <row r="220" spans="1:5" x14ac:dyDescent="0.3">
      <c r="A220" s="96"/>
      <c r="B220" s="96"/>
      <c r="C220" s="96"/>
      <c r="D220" s="96"/>
      <c r="E220" s="96"/>
    </row>
    <row r="221" spans="1:5" x14ac:dyDescent="0.3">
      <c r="A221" s="96"/>
      <c r="B221" s="96"/>
      <c r="C221" s="96"/>
      <c r="D221" s="96"/>
      <c r="E221" s="96"/>
    </row>
    <row r="222" spans="1:5" x14ac:dyDescent="0.3">
      <c r="A222" s="96"/>
      <c r="B222" s="96"/>
      <c r="C222" s="96"/>
      <c r="D222" s="96"/>
      <c r="E222" s="96"/>
    </row>
    <row r="223" spans="1:5" x14ac:dyDescent="0.3">
      <c r="A223" s="96"/>
      <c r="B223" s="96"/>
      <c r="C223" s="96"/>
      <c r="D223" s="96"/>
      <c r="E223" s="96"/>
    </row>
    <row r="224" spans="1:5" x14ac:dyDescent="0.3">
      <c r="A224" s="96"/>
      <c r="B224" s="96"/>
      <c r="C224" s="96"/>
      <c r="D224" s="96"/>
      <c r="E224" s="96"/>
    </row>
    <row r="225" spans="1:5" x14ac:dyDescent="0.3">
      <c r="A225" s="96"/>
      <c r="B225" s="96"/>
      <c r="C225" s="96"/>
      <c r="D225" s="96"/>
      <c r="E225" s="96"/>
    </row>
    <row r="226" spans="1:5" x14ac:dyDescent="0.3">
      <c r="A226" s="96"/>
      <c r="B226" s="96"/>
      <c r="C226" s="96"/>
      <c r="D226" s="96"/>
      <c r="E226" s="96"/>
    </row>
    <row r="227" spans="1:5" x14ac:dyDescent="0.3">
      <c r="A227" s="96"/>
      <c r="B227" s="96"/>
      <c r="C227" s="96"/>
      <c r="D227" s="96"/>
      <c r="E227" s="96"/>
    </row>
    <row r="228" spans="1:5" x14ac:dyDescent="0.3">
      <c r="A228" s="96"/>
      <c r="B228" s="96"/>
      <c r="C228" s="96"/>
      <c r="D228" s="96"/>
      <c r="E228" s="96"/>
    </row>
    <row r="229" spans="1:5" x14ac:dyDescent="0.3">
      <c r="A229" s="96"/>
      <c r="B229" s="96"/>
      <c r="C229" s="96"/>
      <c r="D229" s="96"/>
      <c r="E229" s="96"/>
    </row>
    <row r="230" spans="1:5" x14ac:dyDescent="0.3">
      <c r="A230" s="96"/>
      <c r="B230" s="96"/>
      <c r="C230" s="96"/>
      <c r="D230" s="96"/>
      <c r="E230" s="96"/>
    </row>
    <row r="231" spans="1:5" x14ac:dyDescent="0.3">
      <c r="A231" s="96"/>
      <c r="B231" s="96"/>
      <c r="C231" s="96"/>
      <c r="D231" s="96"/>
      <c r="E231" s="96"/>
    </row>
    <row r="232" spans="1:5" x14ac:dyDescent="0.3">
      <c r="A232" s="96"/>
      <c r="B232" s="96"/>
      <c r="C232" s="96"/>
      <c r="D232" s="96"/>
      <c r="E232" s="96"/>
    </row>
    <row r="233" spans="1:5" x14ac:dyDescent="0.3">
      <c r="A233" s="96"/>
      <c r="B233" s="96"/>
      <c r="C233" s="96"/>
      <c r="D233" s="96"/>
      <c r="E233" s="96"/>
    </row>
    <row r="234" spans="1:5" x14ac:dyDescent="0.3">
      <c r="A234" s="96"/>
      <c r="B234" s="96"/>
      <c r="C234" s="96"/>
      <c r="D234" s="96"/>
      <c r="E234" s="96"/>
    </row>
    <row r="235" spans="1:5" x14ac:dyDescent="0.3">
      <c r="A235" s="96"/>
      <c r="B235" s="96"/>
      <c r="C235" s="96"/>
      <c r="D235" s="96"/>
      <c r="E235" s="96"/>
    </row>
    <row r="236" spans="1:5" x14ac:dyDescent="0.3">
      <c r="A236" s="96"/>
      <c r="B236" s="96"/>
      <c r="C236" s="96"/>
      <c r="D236" s="96"/>
      <c r="E236" s="96"/>
    </row>
    <row r="237" spans="1:5" x14ac:dyDescent="0.3">
      <c r="A237" s="96"/>
      <c r="B237" s="96"/>
      <c r="C237" s="96"/>
      <c r="D237" s="96"/>
      <c r="E237" s="96"/>
    </row>
    <row r="238" spans="1:5" x14ac:dyDescent="0.3">
      <c r="A238" s="96"/>
      <c r="B238" s="96"/>
      <c r="C238" s="96"/>
      <c r="D238" s="96"/>
      <c r="E238" s="96"/>
    </row>
    <row r="239" spans="1:5" x14ac:dyDescent="0.3">
      <c r="A239" s="96"/>
      <c r="B239" s="96"/>
      <c r="C239" s="96"/>
      <c r="D239" s="96"/>
      <c r="E239" s="96"/>
    </row>
    <row r="240" spans="1:5" x14ac:dyDescent="0.3">
      <c r="A240" s="96"/>
      <c r="B240" s="96"/>
      <c r="C240" s="96"/>
      <c r="D240" s="96"/>
      <c r="E240" s="96"/>
    </row>
    <row r="241" spans="1:5" x14ac:dyDescent="0.3">
      <c r="A241" s="96"/>
      <c r="B241" s="96"/>
      <c r="C241" s="96"/>
      <c r="D241" s="96"/>
      <c r="E241" s="96"/>
    </row>
    <row r="242" spans="1:5" x14ac:dyDescent="0.3">
      <c r="A242" s="96"/>
      <c r="B242" s="96"/>
      <c r="C242" s="96"/>
      <c r="D242" s="96"/>
      <c r="E242" s="96"/>
    </row>
    <row r="243" spans="1:5" x14ac:dyDescent="0.3">
      <c r="A243" s="96"/>
      <c r="B243" s="96"/>
      <c r="C243" s="96"/>
      <c r="D243" s="96"/>
      <c r="E243" s="96"/>
    </row>
    <row r="244" spans="1:5" x14ac:dyDescent="0.3">
      <c r="A244" s="96"/>
      <c r="B244" s="96"/>
      <c r="C244" s="96"/>
      <c r="D244" s="96"/>
      <c r="E244" s="96"/>
    </row>
    <row r="245" spans="1:5" x14ac:dyDescent="0.3">
      <c r="A245" s="96"/>
      <c r="B245" s="96"/>
      <c r="C245" s="96"/>
      <c r="D245" s="96"/>
      <c r="E245" s="96"/>
    </row>
    <row r="246" spans="1:5" x14ac:dyDescent="0.3">
      <c r="A246" s="96"/>
      <c r="B246" s="96"/>
      <c r="C246" s="96"/>
      <c r="D246" s="96"/>
      <c r="E246" s="96"/>
    </row>
    <row r="247" spans="1:5" x14ac:dyDescent="0.3">
      <c r="A247" s="96"/>
      <c r="B247" s="96"/>
      <c r="C247" s="96"/>
      <c r="D247" s="96"/>
      <c r="E247" s="96"/>
    </row>
    <row r="248" spans="1:5" x14ac:dyDescent="0.3">
      <c r="A248" s="96"/>
      <c r="B248" s="96"/>
      <c r="C248" s="96"/>
      <c r="D248" s="96"/>
      <c r="E248" s="96"/>
    </row>
    <row r="249" spans="1:5" x14ac:dyDescent="0.3">
      <c r="A249" s="96"/>
      <c r="B249" s="96"/>
      <c r="C249" s="96"/>
      <c r="D249" s="96"/>
      <c r="E249" s="96"/>
    </row>
    <row r="250" spans="1:5" x14ac:dyDescent="0.3">
      <c r="A250" s="96"/>
      <c r="B250" s="96"/>
      <c r="C250" s="96"/>
      <c r="D250" s="96"/>
      <c r="E250" s="96"/>
    </row>
    <row r="251" spans="1:5" x14ac:dyDescent="0.3">
      <c r="A251" s="96"/>
      <c r="B251" s="96"/>
      <c r="C251" s="96"/>
      <c r="D251" s="96"/>
      <c r="E251" s="96"/>
    </row>
    <row r="252" spans="1:5" x14ac:dyDescent="0.3">
      <c r="A252" s="96"/>
      <c r="B252" s="96"/>
      <c r="C252" s="96"/>
      <c r="D252" s="96"/>
      <c r="E252" s="96"/>
    </row>
    <row r="253" spans="1:5" x14ac:dyDescent="0.3">
      <c r="A253" s="96"/>
      <c r="B253" s="96"/>
      <c r="C253" s="96"/>
      <c r="D253" s="96"/>
      <c r="E253" s="96"/>
    </row>
    <row r="254" spans="1:5" x14ac:dyDescent="0.3">
      <c r="A254" s="96"/>
      <c r="B254" s="96"/>
      <c r="C254" s="96"/>
      <c r="D254" s="96"/>
      <c r="E254" s="96"/>
    </row>
    <row r="255" spans="1:5" x14ac:dyDescent="0.3">
      <c r="A255" s="96"/>
      <c r="B255" s="96"/>
      <c r="C255" s="96"/>
      <c r="D255" s="96"/>
      <c r="E255" s="96"/>
    </row>
    <row r="256" spans="1:5" x14ac:dyDescent="0.3">
      <c r="A256" s="96"/>
      <c r="B256" s="96"/>
      <c r="C256" s="96"/>
      <c r="D256" s="96"/>
      <c r="E256" s="96"/>
    </row>
    <row r="257" spans="1:5" x14ac:dyDescent="0.3">
      <c r="A257" s="96"/>
      <c r="B257" s="96"/>
      <c r="C257" s="96"/>
      <c r="D257" s="96"/>
      <c r="E257" s="96"/>
    </row>
    <row r="258" spans="1:5" x14ac:dyDescent="0.3">
      <c r="A258" s="96"/>
      <c r="B258" s="96"/>
      <c r="C258" s="96"/>
      <c r="D258" s="96"/>
      <c r="E258" s="96"/>
    </row>
    <row r="259" spans="1:5" x14ac:dyDescent="0.3">
      <c r="A259" s="96"/>
      <c r="B259" s="96"/>
      <c r="C259" s="96"/>
      <c r="D259" s="96"/>
      <c r="E259" s="96"/>
    </row>
    <row r="260" spans="1:5" x14ac:dyDescent="0.3">
      <c r="A260" s="96"/>
      <c r="B260" s="96"/>
      <c r="C260" s="96"/>
      <c r="D260" s="96"/>
      <c r="E260" s="96"/>
    </row>
    <row r="261" spans="1:5" x14ac:dyDescent="0.3">
      <c r="A261" s="96"/>
      <c r="B261" s="96"/>
      <c r="C261" s="96"/>
      <c r="D261" s="96"/>
      <c r="E261" s="96"/>
    </row>
    <row r="262" spans="1:5" x14ac:dyDescent="0.3">
      <c r="A262" s="96"/>
      <c r="B262" s="96"/>
      <c r="C262" s="96"/>
      <c r="D262" s="96"/>
      <c r="E262" s="96"/>
    </row>
    <row r="263" spans="1:5" x14ac:dyDescent="0.3">
      <c r="A263" s="96"/>
      <c r="B263" s="96"/>
      <c r="C263" s="96"/>
      <c r="D263" s="96"/>
      <c r="E263" s="96"/>
    </row>
    <row r="264" spans="1:5" x14ac:dyDescent="0.3">
      <c r="A264" s="96"/>
      <c r="B264" s="96"/>
      <c r="C264" s="96"/>
      <c r="D264" s="96"/>
      <c r="E264" s="96"/>
    </row>
    <row r="265" spans="1:5" x14ac:dyDescent="0.3">
      <c r="A265" s="96"/>
      <c r="B265" s="96"/>
      <c r="C265" s="96"/>
      <c r="D265" s="96"/>
      <c r="E265" s="96"/>
    </row>
    <row r="266" spans="1:5" x14ac:dyDescent="0.3">
      <c r="A266" s="96"/>
      <c r="B266" s="96"/>
      <c r="C266" s="96"/>
      <c r="D266" s="96"/>
      <c r="E266" s="96"/>
    </row>
    <row r="267" spans="1:5" x14ac:dyDescent="0.3">
      <c r="A267" s="96"/>
      <c r="B267" s="96"/>
      <c r="C267" s="96"/>
      <c r="D267" s="96"/>
      <c r="E267" s="96"/>
    </row>
    <row r="268" spans="1:5" x14ac:dyDescent="0.3">
      <c r="A268" s="96"/>
      <c r="B268" s="96"/>
      <c r="C268" s="96"/>
      <c r="D268" s="96"/>
      <c r="E268" s="96"/>
    </row>
    <row r="269" spans="1:5" x14ac:dyDescent="0.3">
      <c r="A269" s="96"/>
      <c r="B269" s="96"/>
      <c r="C269" s="96"/>
      <c r="D269" s="96"/>
      <c r="E269" s="96"/>
    </row>
    <row r="270" spans="1:5" x14ac:dyDescent="0.3">
      <c r="A270" s="96"/>
      <c r="B270" s="96"/>
      <c r="C270" s="96"/>
      <c r="D270" s="96"/>
      <c r="E270" s="96"/>
    </row>
    <row r="271" spans="1:5" x14ac:dyDescent="0.3">
      <c r="A271" s="96"/>
      <c r="B271" s="96"/>
      <c r="C271" s="96"/>
      <c r="D271" s="96"/>
      <c r="E271" s="96"/>
    </row>
    <row r="272" spans="1:5" x14ac:dyDescent="0.3">
      <c r="A272" s="96"/>
      <c r="B272" s="96"/>
      <c r="C272" s="96"/>
      <c r="D272" s="96"/>
      <c r="E272" s="96"/>
    </row>
    <row r="273" spans="1:5" x14ac:dyDescent="0.3">
      <c r="A273" s="96"/>
      <c r="B273" s="96"/>
      <c r="C273" s="96"/>
      <c r="D273" s="96"/>
      <c r="E273" s="96"/>
    </row>
    <row r="274" spans="1:5" x14ac:dyDescent="0.3">
      <c r="A274" s="96"/>
      <c r="B274" s="96"/>
      <c r="C274" s="96"/>
      <c r="D274" s="96"/>
      <c r="E274" s="96"/>
    </row>
    <row r="275" spans="1:5" x14ac:dyDescent="0.3">
      <c r="A275" s="96"/>
      <c r="B275" s="96"/>
      <c r="C275" s="96"/>
      <c r="D275" s="96"/>
      <c r="E275" s="96"/>
    </row>
    <row r="276" spans="1:5" x14ac:dyDescent="0.3">
      <c r="A276" s="96"/>
      <c r="B276" s="96"/>
      <c r="C276" s="96"/>
      <c r="D276" s="96"/>
      <c r="E276" s="96"/>
    </row>
    <row r="277" spans="1:5" x14ac:dyDescent="0.3">
      <c r="A277" s="96"/>
      <c r="B277" s="96"/>
      <c r="C277" s="96"/>
      <c r="D277" s="96"/>
      <c r="E277" s="96"/>
    </row>
    <row r="278" spans="1:5" x14ac:dyDescent="0.3">
      <c r="A278" s="96"/>
      <c r="B278" s="96"/>
      <c r="C278" s="96"/>
      <c r="D278" s="96"/>
      <c r="E278" s="96"/>
    </row>
    <row r="279" spans="1:5" x14ac:dyDescent="0.3">
      <c r="A279" s="96"/>
      <c r="B279" s="96"/>
      <c r="C279" s="96"/>
      <c r="D279" s="96"/>
      <c r="E279" s="96"/>
    </row>
    <row r="280" spans="1:5" x14ac:dyDescent="0.3">
      <c r="A280" s="96"/>
      <c r="B280" s="96"/>
      <c r="C280" s="96"/>
      <c r="D280" s="96"/>
      <c r="E280" s="96"/>
    </row>
    <row r="281" spans="1:5" x14ac:dyDescent="0.3">
      <c r="A281" s="96"/>
      <c r="B281" s="96"/>
      <c r="C281" s="96"/>
      <c r="D281" s="96"/>
      <c r="E281" s="96"/>
    </row>
    <row r="282" spans="1:5" x14ac:dyDescent="0.3">
      <c r="A282" s="96"/>
      <c r="B282" s="96"/>
      <c r="C282" s="96"/>
      <c r="D282" s="96"/>
      <c r="E282" s="96"/>
    </row>
    <row r="283" spans="1:5" x14ac:dyDescent="0.3">
      <c r="A283" s="96"/>
      <c r="B283" s="96"/>
      <c r="C283" s="96"/>
      <c r="D283" s="96"/>
      <c r="E283" s="96"/>
    </row>
    <row r="284" spans="1:5" x14ac:dyDescent="0.3">
      <c r="A284" s="96"/>
      <c r="B284" s="96"/>
      <c r="C284" s="96"/>
      <c r="D284" s="96"/>
      <c r="E284" s="96"/>
    </row>
    <row r="285" spans="1:5" x14ac:dyDescent="0.3">
      <c r="A285" s="96"/>
      <c r="B285" s="96"/>
      <c r="C285" s="96"/>
      <c r="D285" s="96"/>
      <c r="E285" s="96"/>
    </row>
    <row r="286" spans="1:5" x14ac:dyDescent="0.3">
      <c r="A286" s="96"/>
      <c r="B286" s="96"/>
      <c r="C286" s="96"/>
      <c r="D286" s="96"/>
      <c r="E286" s="96"/>
    </row>
    <row r="287" spans="1:5" x14ac:dyDescent="0.3">
      <c r="A287" s="96"/>
      <c r="B287" s="96"/>
      <c r="C287" s="96"/>
      <c r="D287" s="96"/>
      <c r="E287" s="96"/>
    </row>
    <row r="288" spans="1:5" x14ac:dyDescent="0.3">
      <c r="A288" s="96"/>
      <c r="B288" s="96"/>
      <c r="C288" s="96"/>
      <c r="D288" s="96"/>
      <c r="E288" s="96"/>
    </row>
    <row r="289" spans="1:5" x14ac:dyDescent="0.3">
      <c r="A289" s="96"/>
      <c r="B289" s="96"/>
      <c r="C289" s="96"/>
      <c r="D289" s="96"/>
      <c r="E289" s="96"/>
    </row>
    <row r="290" spans="1:5" x14ac:dyDescent="0.3">
      <c r="A290" s="96"/>
      <c r="B290" s="96"/>
      <c r="C290" s="96"/>
      <c r="D290" s="96"/>
      <c r="E290" s="96"/>
    </row>
    <row r="291" spans="1:5" x14ac:dyDescent="0.3">
      <c r="A291" s="96"/>
      <c r="B291" s="96"/>
      <c r="C291" s="96"/>
      <c r="D291" s="96"/>
      <c r="E291" s="96"/>
    </row>
    <row r="292" spans="1:5" x14ac:dyDescent="0.3">
      <c r="A292" s="96"/>
      <c r="B292" s="96"/>
      <c r="C292" s="96"/>
      <c r="D292" s="96"/>
      <c r="E292" s="96"/>
    </row>
    <row r="293" spans="1:5" x14ac:dyDescent="0.3">
      <c r="A293" s="96"/>
      <c r="B293" s="96"/>
      <c r="C293" s="96"/>
      <c r="D293" s="96"/>
      <c r="E293" s="96"/>
    </row>
    <row r="294" spans="1:5" x14ac:dyDescent="0.3">
      <c r="A294" s="96"/>
      <c r="B294" s="96"/>
      <c r="C294" s="96"/>
      <c r="D294" s="96"/>
      <c r="E294" s="96"/>
    </row>
    <row r="295" spans="1:5" x14ac:dyDescent="0.3">
      <c r="A295" s="96"/>
      <c r="B295" s="96"/>
      <c r="C295" s="96"/>
      <c r="D295" s="96"/>
      <c r="E295" s="96"/>
    </row>
    <row r="296" spans="1:5" x14ac:dyDescent="0.3">
      <c r="A296" s="96"/>
      <c r="B296" s="96"/>
      <c r="C296" s="96"/>
      <c r="D296" s="96"/>
      <c r="E296" s="96"/>
    </row>
    <row r="297" spans="1:5" x14ac:dyDescent="0.3">
      <c r="A297" s="96"/>
      <c r="B297" s="96"/>
      <c r="C297" s="96"/>
      <c r="D297" s="96"/>
      <c r="E297" s="96"/>
    </row>
    <row r="298" spans="1:5" x14ac:dyDescent="0.3">
      <c r="A298" s="96"/>
      <c r="B298" s="96"/>
      <c r="C298" s="96"/>
      <c r="D298" s="96"/>
      <c r="E298" s="96"/>
    </row>
    <row r="299" spans="1:5" x14ac:dyDescent="0.3">
      <c r="A299" s="96"/>
      <c r="B299" s="96"/>
      <c r="C299" s="96"/>
      <c r="D299" s="96"/>
      <c r="E299" s="96"/>
    </row>
    <row r="300" spans="1:5" x14ac:dyDescent="0.3">
      <c r="A300" s="96"/>
      <c r="B300" s="96"/>
      <c r="C300" s="96"/>
      <c r="D300" s="96"/>
      <c r="E300" s="96"/>
    </row>
    <row r="301" spans="1:5" x14ac:dyDescent="0.3">
      <c r="A301" s="96"/>
      <c r="B301" s="96"/>
      <c r="C301" s="96"/>
      <c r="D301" s="96"/>
      <c r="E301" s="96"/>
    </row>
  </sheetData>
  <mergeCells count="153">
    <mergeCell ref="A298:E298"/>
    <mergeCell ref="A299:E299"/>
    <mergeCell ref="A300:E300"/>
    <mergeCell ref="A301:E301"/>
    <mergeCell ref="A292:E292"/>
    <mergeCell ref="A293:E293"/>
    <mergeCell ref="A294:E294"/>
    <mergeCell ref="A295:E295"/>
    <mergeCell ref="A296:E296"/>
    <mergeCell ref="A297:E297"/>
    <mergeCell ref="A286:E286"/>
    <mergeCell ref="A287:E287"/>
    <mergeCell ref="A288:E288"/>
    <mergeCell ref="A289:E289"/>
    <mergeCell ref="A290:E290"/>
    <mergeCell ref="A291:E291"/>
    <mergeCell ref="A280:E280"/>
    <mergeCell ref="A281:E281"/>
    <mergeCell ref="A282:E282"/>
    <mergeCell ref="A283:E283"/>
    <mergeCell ref="A284:E284"/>
    <mergeCell ref="A285:E285"/>
    <mergeCell ref="A274:E274"/>
    <mergeCell ref="A275:E275"/>
    <mergeCell ref="A276:E276"/>
    <mergeCell ref="A277:E277"/>
    <mergeCell ref="A278:E278"/>
    <mergeCell ref="A279:E279"/>
    <mergeCell ref="A268:E268"/>
    <mergeCell ref="A269:E269"/>
    <mergeCell ref="A270:E270"/>
    <mergeCell ref="A271:E271"/>
    <mergeCell ref="A272:E272"/>
    <mergeCell ref="A273:E273"/>
    <mergeCell ref="A262:E262"/>
    <mergeCell ref="A263:E263"/>
    <mergeCell ref="A264:E264"/>
    <mergeCell ref="A265:E265"/>
    <mergeCell ref="A266:E266"/>
    <mergeCell ref="A267:E267"/>
    <mergeCell ref="A256:E256"/>
    <mergeCell ref="A257:E257"/>
    <mergeCell ref="A258:E258"/>
    <mergeCell ref="A259:E259"/>
    <mergeCell ref="A260:E260"/>
    <mergeCell ref="A261:E261"/>
    <mergeCell ref="A250:E250"/>
    <mergeCell ref="A251:E251"/>
    <mergeCell ref="A252:E252"/>
    <mergeCell ref="A253:E253"/>
    <mergeCell ref="A254:E254"/>
    <mergeCell ref="A255:E255"/>
    <mergeCell ref="A244:E244"/>
    <mergeCell ref="A245:E245"/>
    <mergeCell ref="A246:E246"/>
    <mergeCell ref="A247:E247"/>
    <mergeCell ref="A248:E248"/>
    <mergeCell ref="A249:E249"/>
    <mergeCell ref="A238:E238"/>
    <mergeCell ref="A239:E239"/>
    <mergeCell ref="A240:E240"/>
    <mergeCell ref="A241:E241"/>
    <mergeCell ref="A242:E242"/>
    <mergeCell ref="A243:E243"/>
    <mergeCell ref="A232:E232"/>
    <mergeCell ref="A233:E233"/>
    <mergeCell ref="A234:E234"/>
    <mergeCell ref="A235:E235"/>
    <mergeCell ref="A236:E236"/>
    <mergeCell ref="A237:E237"/>
    <mergeCell ref="A226:E226"/>
    <mergeCell ref="A227:E227"/>
    <mergeCell ref="A228:E228"/>
    <mergeCell ref="A229:E229"/>
    <mergeCell ref="A230:E230"/>
    <mergeCell ref="A231:E231"/>
    <mergeCell ref="A220:E220"/>
    <mergeCell ref="A221:E221"/>
    <mergeCell ref="A222:E222"/>
    <mergeCell ref="A223:E223"/>
    <mergeCell ref="A224:E224"/>
    <mergeCell ref="A225:E225"/>
    <mergeCell ref="A214:E214"/>
    <mergeCell ref="A215:E215"/>
    <mergeCell ref="A216:E216"/>
    <mergeCell ref="A217:E217"/>
    <mergeCell ref="A218:E218"/>
    <mergeCell ref="A219:E219"/>
    <mergeCell ref="A208:E208"/>
    <mergeCell ref="A209:E209"/>
    <mergeCell ref="A210:E210"/>
    <mergeCell ref="A211:E211"/>
    <mergeCell ref="A212:E212"/>
    <mergeCell ref="A213:E213"/>
    <mergeCell ref="A202:E202"/>
    <mergeCell ref="A203:E203"/>
    <mergeCell ref="A204:E204"/>
    <mergeCell ref="A205:E205"/>
    <mergeCell ref="A206:E206"/>
    <mergeCell ref="A207:E207"/>
    <mergeCell ref="A196:E196"/>
    <mergeCell ref="A197:E197"/>
    <mergeCell ref="A198:E198"/>
    <mergeCell ref="A199:E199"/>
    <mergeCell ref="A200:E200"/>
    <mergeCell ref="A201:E201"/>
    <mergeCell ref="A190:E190"/>
    <mergeCell ref="A191:E191"/>
    <mergeCell ref="A192:E192"/>
    <mergeCell ref="A193:E193"/>
    <mergeCell ref="A194:E194"/>
    <mergeCell ref="A195:E195"/>
    <mergeCell ref="A184:E184"/>
    <mergeCell ref="A185:E185"/>
    <mergeCell ref="A186:E186"/>
    <mergeCell ref="A187:E187"/>
    <mergeCell ref="A188:E188"/>
    <mergeCell ref="A189:E189"/>
    <mergeCell ref="A178:E178"/>
    <mergeCell ref="A179:E179"/>
    <mergeCell ref="A180:E180"/>
    <mergeCell ref="A181:E181"/>
    <mergeCell ref="A182:E182"/>
    <mergeCell ref="A183:E183"/>
    <mergeCell ref="A172:E172"/>
    <mergeCell ref="A173:E173"/>
    <mergeCell ref="A174:E174"/>
    <mergeCell ref="A175:E175"/>
    <mergeCell ref="A176:E176"/>
    <mergeCell ref="A177:E177"/>
    <mergeCell ref="A166:E166"/>
    <mergeCell ref="A167:E167"/>
    <mergeCell ref="A168:E168"/>
    <mergeCell ref="A169:E169"/>
    <mergeCell ref="A170:E170"/>
    <mergeCell ref="A171:E171"/>
    <mergeCell ref="A162:E162"/>
    <mergeCell ref="A117:E117"/>
    <mergeCell ref="A120:E120"/>
    <mergeCell ref="A123:E123"/>
    <mergeCell ref="A134:E134"/>
    <mergeCell ref="A142:E142"/>
    <mergeCell ref="A159:E159"/>
    <mergeCell ref="A9:E9"/>
    <mergeCell ref="A29:E29"/>
    <mergeCell ref="A37:E37"/>
    <mergeCell ref="A59:E59"/>
    <mergeCell ref="A84:E84"/>
    <mergeCell ref="A109:E109"/>
    <mergeCell ref="A1:B5"/>
    <mergeCell ref="C1:E5"/>
    <mergeCell ref="A6:E6"/>
    <mergeCell ref="A7:E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516E-5CFA-E140-818C-12BE1A50EA24}">
  <dimension ref="A3:O21"/>
  <sheetViews>
    <sheetView workbookViewId="0">
      <selection activeCell="Q17" sqref="Q17"/>
    </sheetView>
  </sheetViews>
  <sheetFormatPr defaultColWidth="8.77734375" defaultRowHeight="17.399999999999999" x14ac:dyDescent="0.35"/>
  <cols>
    <col min="2" max="2" width="27.6640625" customWidth="1"/>
    <col min="3" max="3" width="18.77734375" customWidth="1"/>
    <col min="4" max="4" width="11.44140625" customWidth="1"/>
    <col min="5" max="5" width="14" hidden="1" customWidth="1"/>
    <col min="6" max="6" width="0" hidden="1" customWidth="1"/>
    <col min="7" max="7" width="12.44140625" customWidth="1"/>
    <col min="8" max="8" width="11.33203125" style="60" customWidth="1"/>
    <col min="9" max="9" width="12.44140625" customWidth="1"/>
    <col min="10" max="10" width="21.6640625" hidden="1" customWidth="1"/>
    <col min="11" max="11" width="11.33203125" style="60" customWidth="1"/>
    <col min="12" max="12" width="12.44140625" customWidth="1"/>
    <col min="13" max="13" width="11.33203125" style="60" customWidth="1"/>
    <col min="14" max="14" width="12.44140625" customWidth="1"/>
    <col min="15" max="15" width="11.33203125" style="60" customWidth="1"/>
  </cols>
  <sheetData>
    <row r="3" spans="1:15" s="1" customFormat="1" ht="67.2" x14ac:dyDescent="0.3">
      <c r="A3" s="47" t="s">
        <v>0</v>
      </c>
      <c r="B3" s="47" t="s">
        <v>480</v>
      </c>
      <c r="C3" s="47" t="s">
        <v>481</v>
      </c>
      <c r="D3" s="47" t="s">
        <v>482</v>
      </c>
      <c r="E3" s="48" t="s">
        <v>483</v>
      </c>
      <c r="F3" s="48" t="s">
        <v>484</v>
      </c>
      <c r="G3" s="48" t="s">
        <v>930</v>
      </c>
      <c r="H3" s="67" t="s">
        <v>929</v>
      </c>
      <c r="I3" s="48" t="s">
        <v>931</v>
      </c>
      <c r="J3" s="48" t="s">
        <v>485</v>
      </c>
      <c r="K3" s="67" t="s">
        <v>536</v>
      </c>
      <c r="L3" s="48" t="s">
        <v>932</v>
      </c>
      <c r="M3" s="67" t="s">
        <v>537</v>
      </c>
      <c r="N3" s="66" t="s">
        <v>933</v>
      </c>
      <c r="O3" s="69" t="s">
        <v>538</v>
      </c>
    </row>
    <row r="4" spans="1:15" s="1" customFormat="1" ht="16.8" x14ac:dyDescent="0.3">
      <c r="A4" s="50">
        <v>1</v>
      </c>
      <c r="B4" s="50" t="s">
        <v>486</v>
      </c>
      <c r="C4" s="51" t="s">
        <v>487</v>
      </c>
      <c r="D4" s="51" t="s">
        <v>6</v>
      </c>
      <c r="E4" s="52">
        <v>180000</v>
      </c>
      <c r="F4" s="52">
        <v>215000</v>
      </c>
      <c r="G4" s="53">
        <v>210000</v>
      </c>
      <c r="H4" s="68">
        <v>180000</v>
      </c>
      <c r="I4" s="53">
        <v>230000</v>
      </c>
      <c r="J4" s="53">
        <v>230000</v>
      </c>
      <c r="K4" s="68">
        <v>200000</v>
      </c>
      <c r="L4" s="53">
        <f>J4+30000</f>
        <v>260000</v>
      </c>
      <c r="M4" s="68">
        <v>230000</v>
      </c>
      <c r="N4" s="53">
        <v>170000</v>
      </c>
      <c r="O4" s="68">
        <v>140000</v>
      </c>
    </row>
    <row r="5" spans="1:15" s="1" customFormat="1" ht="16.8" x14ac:dyDescent="0.3">
      <c r="A5" s="50">
        <v>2</v>
      </c>
      <c r="B5" s="50" t="s">
        <v>488</v>
      </c>
      <c r="C5" s="51" t="s">
        <v>489</v>
      </c>
      <c r="D5" s="51" t="s">
        <v>6</v>
      </c>
      <c r="E5" s="52">
        <v>200000</v>
      </c>
      <c r="F5" s="52">
        <v>235000</v>
      </c>
      <c r="G5" s="53">
        <v>240000</v>
      </c>
      <c r="H5" s="68">
        <v>200000</v>
      </c>
      <c r="I5" s="53">
        <v>260000</v>
      </c>
      <c r="J5" s="53">
        <v>260000</v>
      </c>
      <c r="K5" s="68">
        <v>220000</v>
      </c>
      <c r="L5" s="53">
        <f t="shared" ref="L5:L15" si="0">J5+30000</f>
        <v>290000</v>
      </c>
      <c r="M5" s="68">
        <v>260000</v>
      </c>
      <c r="N5" s="53">
        <v>190000</v>
      </c>
      <c r="O5" s="68">
        <v>160000</v>
      </c>
    </row>
    <row r="6" spans="1:15" ht="16.8" x14ac:dyDescent="0.3">
      <c r="A6" s="50">
        <v>3</v>
      </c>
      <c r="B6" s="50" t="s">
        <v>490</v>
      </c>
      <c r="C6" s="51" t="s">
        <v>491</v>
      </c>
      <c r="D6" s="51" t="s">
        <v>6</v>
      </c>
      <c r="E6" s="52">
        <v>220000</v>
      </c>
      <c r="F6" s="52">
        <v>260000</v>
      </c>
      <c r="G6" s="53">
        <v>260000</v>
      </c>
      <c r="H6" s="68">
        <v>220000</v>
      </c>
      <c r="I6" s="53">
        <v>280000</v>
      </c>
      <c r="J6" s="53">
        <v>280000</v>
      </c>
      <c r="K6" s="68">
        <v>240000</v>
      </c>
      <c r="L6" s="53">
        <f t="shared" si="0"/>
        <v>310000</v>
      </c>
      <c r="M6" s="68">
        <v>280000</v>
      </c>
      <c r="N6" s="53">
        <v>200000</v>
      </c>
      <c r="O6" s="68">
        <v>170000</v>
      </c>
    </row>
    <row r="7" spans="1:15" ht="16.8" x14ac:dyDescent="0.3">
      <c r="A7" s="50"/>
      <c r="B7" s="50"/>
      <c r="C7" s="51"/>
      <c r="D7" s="51"/>
      <c r="E7" s="52"/>
      <c r="F7" s="52"/>
      <c r="G7" s="53"/>
      <c r="H7" s="68"/>
      <c r="I7" s="53"/>
      <c r="J7" s="53"/>
      <c r="K7" s="68"/>
      <c r="L7" s="53"/>
      <c r="M7" s="68"/>
      <c r="N7" s="53"/>
      <c r="O7" s="68"/>
    </row>
    <row r="8" spans="1:15" ht="16.8" x14ac:dyDescent="0.3">
      <c r="A8" s="50">
        <v>1</v>
      </c>
      <c r="B8" s="50" t="s">
        <v>492</v>
      </c>
      <c r="C8" s="51" t="s">
        <v>493</v>
      </c>
      <c r="D8" s="51" t="s">
        <v>6</v>
      </c>
      <c r="E8" s="52">
        <v>210000</v>
      </c>
      <c r="F8" s="52">
        <v>250000</v>
      </c>
      <c r="G8" s="53">
        <v>260000</v>
      </c>
      <c r="H8" s="68">
        <v>220000</v>
      </c>
      <c r="I8" s="53">
        <v>280000</v>
      </c>
      <c r="J8" s="53">
        <v>280000</v>
      </c>
      <c r="K8" s="68">
        <v>240000</v>
      </c>
      <c r="L8" s="53">
        <f t="shared" si="0"/>
        <v>310000</v>
      </c>
      <c r="M8" s="68">
        <v>280000</v>
      </c>
      <c r="N8" s="53">
        <v>200000</v>
      </c>
      <c r="O8" s="68">
        <v>170000</v>
      </c>
    </row>
    <row r="9" spans="1:15" ht="16.8" x14ac:dyDescent="0.3">
      <c r="A9" s="50">
        <v>2</v>
      </c>
      <c r="B9" s="50" t="s">
        <v>494</v>
      </c>
      <c r="C9" s="51" t="s">
        <v>495</v>
      </c>
      <c r="D9" s="51" t="s">
        <v>6</v>
      </c>
      <c r="E9" s="52">
        <v>230000</v>
      </c>
      <c r="F9" s="52">
        <v>270000</v>
      </c>
      <c r="G9" s="53">
        <v>290000</v>
      </c>
      <c r="H9" s="68">
        <v>250000</v>
      </c>
      <c r="I9" s="53">
        <v>310000</v>
      </c>
      <c r="J9" s="53">
        <v>310000</v>
      </c>
      <c r="K9" s="68">
        <v>270000</v>
      </c>
      <c r="L9" s="53">
        <f t="shared" si="0"/>
        <v>340000</v>
      </c>
      <c r="M9" s="68">
        <v>310000</v>
      </c>
      <c r="N9" s="53">
        <v>220000</v>
      </c>
      <c r="O9" s="68">
        <v>190000</v>
      </c>
    </row>
    <row r="10" spans="1:15" ht="16.8" x14ac:dyDescent="0.3">
      <c r="A10" s="50">
        <v>3</v>
      </c>
      <c r="B10" s="50" t="s">
        <v>496</v>
      </c>
      <c r="C10" s="51" t="s">
        <v>497</v>
      </c>
      <c r="D10" s="51" t="s">
        <v>6</v>
      </c>
      <c r="E10" s="52">
        <v>250000</v>
      </c>
      <c r="F10" s="52">
        <v>290000</v>
      </c>
      <c r="G10" s="53">
        <v>310000</v>
      </c>
      <c r="H10" s="68">
        <v>270000</v>
      </c>
      <c r="I10" s="53">
        <v>330000</v>
      </c>
      <c r="J10" s="53">
        <v>330000</v>
      </c>
      <c r="K10" s="68">
        <v>290000</v>
      </c>
      <c r="L10" s="53">
        <f t="shared" si="0"/>
        <v>360000</v>
      </c>
      <c r="M10" s="68">
        <v>330000</v>
      </c>
      <c r="N10" s="53">
        <v>240000</v>
      </c>
      <c r="O10" s="68">
        <v>210000</v>
      </c>
    </row>
    <row r="11" spans="1:15" ht="16.8" x14ac:dyDescent="0.3">
      <c r="A11" s="50"/>
      <c r="B11" s="50"/>
      <c r="C11" s="51"/>
      <c r="D11" s="51"/>
      <c r="E11" s="52"/>
      <c r="F11" s="52"/>
      <c r="G11" s="53"/>
      <c r="H11" s="68"/>
      <c r="I11" s="53"/>
      <c r="J11" s="53"/>
      <c r="K11" s="68"/>
      <c r="L11" s="53"/>
      <c r="M11" s="68"/>
      <c r="N11" s="53"/>
      <c r="O11" s="68"/>
    </row>
    <row r="12" spans="1:15" ht="16.8" x14ac:dyDescent="0.3">
      <c r="A12" s="50">
        <v>1</v>
      </c>
      <c r="B12" s="50" t="s">
        <v>498</v>
      </c>
      <c r="C12" s="51" t="s">
        <v>499</v>
      </c>
      <c r="D12" s="51" t="s">
        <v>6</v>
      </c>
      <c r="E12" s="52">
        <v>230000</v>
      </c>
      <c r="F12" s="52">
        <v>270000</v>
      </c>
      <c r="G12" s="53">
        <v>290000</v>
      </c>
      <c r="H12" s="68">
        <v>250000</v>
      </c>
      <c r="I12" s="53">
        <v>310000</v>
      </c>
      <c r="J12" s="53">
        <v>310000</v>
      </c>
      <c r="K12" s="68">
        <v>270000</v>
      </c>
      <c r="L12" s="53">
        <f t="shared" si="0"/>
        <v>340000</v>
      </c>
      <c r="M12" s="68">
        <v>310000</v>
      </c>
      <c r="N12" s="53">
        <v>220000</v>
      </c>
      <c r="O12" s="68">
        <v>190000</v>
      </c>
    </row>
    <row r="13" spans="1:15" ht="16.8" x14ac:dyDescent="0.3">
      <c r="A13" s="50">
        <v>2</v>
      </c>
      <c r="B13" s="50" t="s">
        <v>500</v>
      </c>
      <c r="C13" s="51" t="s">
        <v>501</v>
      </c>
      <c r="D13" s="51" t="s">
        <v>6</v>
      </c>
      <c r="E13" s="52">
        <v>250000</v>
      </c>
      <c r="F13" s="52">
        <v>290000</v>
      </c>
      <c r="G13" s="53">
        <v>310000</v>
      </c>
      <c r="H13" s="68">
        <v>270000</v>
      </c>
      <c r="I13" s="53">
        <v>330000</v>
      </c>
      <c r="J13" s="53">
        <v>330000</v>
      </c>
      <c r="K13" s="68">
        <v>290000</v>
      </c>
      <c r="L13" s="53">
        <f t="shared" si="0"/>
        <v>360000</v>
      </c>
      <c r="M13" s="68">
        <v>330000</v>
      </c>
      <c r="N13" s="53">
        <v>240000</v>
      </c>
      <c r="O13" s="68">
        <v>210000</v>
      </c>
    </row>
    <row r="14" spans="1:15" ht="16.8" x14ac:dyDescent="0.3">
      <c r="A14" s="50">
        <v>3</v>
      </c>
      <c r="B14" s="50" t="s">
        <v>502</v>
      </c>
      <c r="C14" s="51" t="s">
        <v>503</v>
      </c>
      <c r="D14" s="51" t="s">
        <v>6</v>
      </c>
      <c r="E14" s="52">
        <v>270000</v>
      </c>
      <c r="F14" s="52">
        <v>310000</v>
      </c>
      <c r="G14" s="53">
        <v>330000</v>
      </c>
      <c r="H14" s="68">
        <v>290000</v>
      </c>
      <c r="I14" s="53">
        <v>350000</v>
      </c>
      <c r="J14" s="53">
        <v>350000</v>
      </c>
      <c r="K14" s="68">
        <v>310000</v>
      </c>
      <c r="L14" s="53">
        <f t="shared" si="0"/>
        <v>380000</v>
      </c>
      <c r="M14" s="68">
        <v>350000</v>
      </c>
      <c r="N14" s="53">
        <v>260000</v>
      </c>
      <c r="O14" s="68">
        <v>230000</v>
      </c>
    </row>
    <row r="15" spans="1:15" ht="16.8" x14ac:dyDescent="0.3">
      <c r="A15" s="50">
        <v>4</v>
      </c>
      <c r="B15" s="50" t="s">
        <v>504</v>
      </c>
      <c r="C15" s="51" t="s">
        <v>505</v>
      </c>
      <c r="D15" s="51" t="s">
        <v>6</v>
      </c>
      <c r="E15" s="52">
        <v>290000</v>
      </c>
      <c r="F15" s="52">
        <v>330000</v>
      </c>
      <c r="G15" s="53">
        <v>350000</v>
      </c>
      <c r="H15" s="68">
        <v>310000</v>
      </c>
      <c r="I15" s="53">
        <v>370000</v>
      </c>
      <c r="J15" s="53">
        <v>370000</v>
      </c>
      <c r="K15" s="68">
        <v>330000</v>
      </c>
      <c r="L15" s="53">
        <f t="shared" si="0"/>
        <v>400000</v>
      </c>
      <c r="M15" s="68">
        <v>370000</v>
      </c>
      <c r="N15" s="53">
        <v>280000</v>
      </c>
      <c r="O15" s="68">
        <v>250000</v>
      </c>
    </row>
    <row r="16" spans="1:15" ht="16.8" x14ac:dyDescent="0.3">
      <c r="A16" s="49"/>
      <c r="B16" s="49"/>
      <c r="C16" s="49"/>
      <c r="D16" s="54"/>
      <c r="E16" s="55"/>
      <c r="F16" s="55"/>
      <c r="G16" s="56"/>
      <c r="H16" s="59"/>
      <c r="I16" s="56"/>
      <c r="J16" s="56"/>
      <c r="K16" s="59"/>
      <c r="L16" s="56"/>
      <c r="M16" s="59"/>
      <c r="N16" s="56"/>
      <c r="O16" s="59"/>
    </row>
    <row r="17" spans="1:15" ht="16.8" x14ac:dyDescent="0.3">
      <c r="A17" s="49"/>
      <c r="B17" s="147" t="s">
        <v>506</v>
      </c>
      <c r="C17" s="147"/>
      <c r="D17" s="147"/>
      <c r="E17" s="147"/>
      <c r="F17" s="147"/>
      <c r="G17" s="147"/>
      <c r="H17" s="147"/>
      <c r="I17" s="147"/>
      <c r="J17" s="147"/>
      <c r="K17" s="59"/>
      <c r="L17" s="49"/>
      <c r="M17" s="59"/>
      <c r="N17" s="49"/>
      <c r="O17" s="59"/>
    </row>
    <row r="18" spans="1:15" ht="16.8" x14ac:dyDescent="0.3">
      <c r="A18" s="49"/>
      <c r="B18" s="147" t="s">
        <v>507</v>
      </c>
      <c r="C18" s="147"/>
      <c r="D18" s="147"/>
      <c r="E18" s="147"/>
      <c r="F18" s="147"/>
      <c r="G18" s="147"/>
      <c r="H18" s="147"/>
      <c r="I18" s="147"/>
      <c r="J18" s="147"/>
      <c r="K18" s="59"/>
      <c r="L18" s="49"/>
      <c r="M18" s="59"/>
      <c r="N18" s="49"/>
      <c r="O18" s="59"/>
    </row>
    <row r="19" spans="1:15" s="1" customFormat="1" ht="15.6" x14ac:dyDescent="0.3">
      <c r="A19" s="95" t="s">
        <v>915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</row>
    <row r="20" spans="1:15" s="1" customFormat="1" ht="15.6" x14ac:dyDescent="0.3">
      <c r="A20" s="95" t="s">
        <v>917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</row>
    <row r="21" spans="1:15" s="1" customFormat="1" ht="15.6" x14ac:dyDescent="0.3">
      <c r="A21" s="95" t="s">
        <v>664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</row>
  </sheetData>
  <mergeCells count="5">
    <mergeCell ref="A21:L21"/>
    <mergeCell ref="A20:L20"/>
    <mergeCell ref="A19:L19"/>
    <mergeCell ref="B17:J17"/>
    <mergeCell ref="B18:J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D447D-05C8-8E4B-9F8D-54F84B72A1CF}">
  <dimension ref="A3:I17"/>
  <sheetViews>
    <sheetView topLeftCell="A3" workbookViewId="0">
      <selection activeCell="O16" sqref="O16"/>
    </sheetView>
  </sheetViews>
  <sheetFormatPr defaultColWidth="8.77734375" defaultRowHeight="17.399999999999999" x14ac:dyDescent="0.35"/>
  <cols>
    <col min="2" max="2" width="27.6640625" customWidth="1"/>
    <col min="3" max="3" width="18.77734375" customWidth="1"/>
    <col min="4" max="4" width="11.44140625" customWidth="1"/>
    <col min="5" max="5" width="14" hidden="1" customWidth="1"/>
    <col min="6" max="6" width="0" hidden="1" customWidth="1"/>
    <col min="7" max="7" width="12.44140625" customWidth="1"/>
    <col min="8" max="8" width="21.6640625" hidden="1" customWidth="1"/>
    <col min="9" max="9" width="13.5546875" style="60" customWidth="1"/>
  </cols>
  <sheetData>
    <row r="3" spans="1:9" s="1" customFormat="1" ht="67.2" x14ac:dyDescent="0.3">
      <c r="A3" s="47" t="s">
        <v>0</v>
      </c>
      <c r="B3" s="47" t="s">
        <v>480</v>
      </c>
      <c r="C3" s="47" t="s">
        <v>481</v>
      </c>
      <c r="D3" s="47" t="s">
        <v>482</v>
      </c>
      <c r="E3" s="48" t="s">
        <v>483</v>
      </c>
      <c r="F3" s="48" t="s">
        <v>484</v>
      </c>
      <c r="G3" s="48" t="s">
        <v>518</v>
      </c>
      <c r="H3" s="48" t="s">
        <v>485</v>
      </c>
      <c r="I3" s="57" t="s">
        <v>508</v>
      </c>
    </row>
    <row r="4" spans="1:9" s="1" customFormat="1" ht="16.8" x14ac:dyDescent="0.3">
      <c r="A4" s="148" t="s">
        <v>513</v>
      </c>
      <c r="B4" s="149"/>
      <c r="C4" s="149"/>
      <c r="D4" s="149"/>
      <c r="E4" s="149"/>
      <c r="F4" s="149"/>
      <c r="G4" s="149"/>
      <c r="H4" s="149"/>
      <c r="I4" s="150"/>
    </row>
    <row r="5" spans="1:9" s="1" customFormat="1" ht="16.8" x14ac:dyDescent="0.3">
      <c r="A5" s="50">
        <v>1</v>
      </c>
      <c r="B5" s="50" t="s">
        <v>509</v>
      </c>
      <c r="C5" s="51" t="s">
        <v>514</v>
      </c>
      <c r="D5" s="51" t="s">
        <v>6</v>
      </c>
      <c r="E5" s="52"/>
      <c r="F5" s="52"/>
      <c r="G5" s="53">
        <v>350000</v>
      </c>
      <c r="H5" s="53"/>
      <c r="I5" s="58">
        <v>310000</v>
      </c>
    </row>
    <row r="6" spans="1:9" ht="16.8" x14ac:dyDescent="0.3">
      <c r="A6" s="50">
        <v>2</v>
      </c>
      <c r="B6" s="50" t="s">
        <v>510</v>
      </c>
      <c r="C6" s="51" t="s">
        <v>516</v>
      </c>
      <c r="D6" s="51" t="s">
        <v>6</v>
      </c>
      <c r="E6" s="52"/>
      <c r="F6" s="52"/>
      <c r="G6" s="53">
        <v>380000</v>
      </c>
      <c r="H6" s="53"/>
      <c r="I6" s="58">
        <v>340000</v>
      </c>
    </row>
    <row r="7" spans="1:9" ht="16.8" x14ac:dyDescent="0.3">
      <c r="A7" s="50">
        <v>3</v>
      </c>
      <c r="B7" s="50" t="s">
        <v>528</v>
      </c>
      <c r="C7" s="51" t="s">
        <v>529</v>
      </c>
      <c r="D7" s="51" t="s">
        <v>6</v>
      </c>
      <c r="E7" s="52"/>
      <c r="F7" s="52"/>
      <c r="G7" s="53">
        <v>410000</v>
      </c>
      <c r="H7" s="53"/>
      <c r="I7" s="58">
        <v>370000</v>
      </c>
    </row>
    <row r="8" spans="1:9" ht="16.8" x14ac:dyDescent="0.3">
      <c r="A8" s="50">
        <v>4</v>
      </c>
      <c r="B8" s="50" t="s">
        <v>511</v>
      </c>
      <c r="C8" s="51" t="s">
        <v>515</v>
      </c>
      <c r="D8" s="51" t="s">
        <v>6</v>
      </c>
      <c r="E8" s="52"/>
      <c r="F8" s="52"/>
      <c r="G8" s="53">
        <v>380000</v>
      </c>
      <c r="H8" s="53"/>
      <c r="I8" s="58">
        <v>340000</v>
      </c>
    </row>
    <row r="9" spans="1:9" ht="16.8" x14ac:dyDescent="0.3">
      <c r="A9" s="50">
        <v>5</v>
      </c>
      <c r="B9" s="50" t="s">
        <v>512</v>
      </c>
      <c r="C9" s="51" t="s">
        <v>517</v>
      </c>
      <c r="D9" s="51" t="s">
        <v>6</v>
      </c>
      <c r="E9" s="52"/>
      <c r="F9" s="52"/>
      <c r="G9" s="53">
        <v>410000</v>
      </c>
      <c r="H9" s="53"/>
      <c r="I9" s="58">
        <v>370000</v>
      </c>
    </row>
    <row r="10" spans="1:9" ht="16.8" x14ac:dyDescent="0.3">
      <c r="A10" s="50">
        <v>6</v>
      </c>
      <c r="B10" s="50" t="s">
        <v>530</v>
      </c>
      <c r="C10" s="51" t="s">
        <v>531</v>
      </c>
      <c r="D10" s="51" t="s">
        <v>6</v>
      </c>
      <c r="E10" s="52"/>
      <c r="F10" s="52"/>
      <c r="G10" s="53">
        <v>440000</v>
      </c>
      <c r="H10" s="53"/>
      <c r="I10" s="58">
        <v>400000</v>
      </c>
    </row>
    <row r="11" spans="1:9" s="1" customFormat="1" ht="16.8" x14ac:dyDescent="0.3">
      <c r="A11" s="148" t="s">
        <v>519</v>
      </c>
      <c r="B11" s="149"/>
      <c r="C11" s="149"/>
      <c r="D11" s="149"/>
      <c r="E11" s="149"/>
      <c r="F11" s="149"/>
      <c r="G11" s="149"/>
      <c r="H11" s="149"/>
      <c r="I11" s="150"/>
    </row>
    <row r="12" spans="1:9" s="1" customFormat="1" ht="16.8" x14ac:dyDescent="0.3">
      <c r="A12" s="50">
        <v>1</v>
      </c>
      <c r="B12" s="50" t="s">
        <v>520</v>
      </c>
      <c r="C12" s="51" t="s">
        <v>524</v>
      </c>
      <c r="D12" s="51" t="s">
        <v>6</v>
      </c>
      <c r="E12" s="52"/>
      <c r="F12" s="52"/>
      <c r="G12" s="53">
        <v>340000</v>
      </c>
      <c r="H12" s="53"/>
      <c r="I12" s="58">
        <v>300000</v>
      </c>
    </row>
    <row r="13" spans="1:9" ht="16.8" x14ac:dyDescent="0.3">
      <c r="A13" s="50">
        <v>2</v>
      </c>
      <c r="B13" s="50" t="s">
        <v>521</v>
      </c>
      <c r="C13" s="51" t="s">
        <v>525</v>
      </c>
      <c r="D13" s="51" t="s">
        <v>6</v>
      </c>
      <c r="E13" s="52"/>
      <c r="F13" s="52"/>
      <c r="G13" s="53">
        <v>370000</v>
      </c>
      <c r="H13" s="53"/>
      <c r="I13" s="58">
        <v>330000</v>
      </c>
    </row>
    <row r="14" spans="1:9" ht="16.8" x14ac:dyDescent="0.3">
      <c r="A14" s="50">
        <v>3</v>
      </c>
      <c r="B14" s="50" t="s">
        <v>532</v>
      </c>
      <c r="C14" s="51" t="s">
        <v>534</v>
      </c>
      <c r="D14" s="51" t="s">
        <v>6</v>
      </c>
      <c r="E14" s="52"/>
      <c r="F14" s="52"/>
      <c r="G14" s="53">
        <v>400000</v>
      </c>
      <c r="H14" s="53"/>
      <c r="I14" s="58">
        <v>360000</v>
      </c>
    </row>
    <row r="15" spans="1:9" ht="16.8" x14ac:dyDescent="0.3">
      <c r="A15" s="50">
        <v>4</v>
      </c>
      <c r="B15" s="50" t="s">
        <v>522</v>
      </c>
      <c r="C15" s="51" t="s">
        <v>526</v>
      </c>
      <c r="D15" s="51" t="s">
        <v>6</v>
      </c>
      <c r="E15" s="52"/>
      <c r="F15" s="52"/>
      <c r="G15" s="53">
        <v>370000</v>
      </c>
      <c r="H15" s="53"/>
      <c r="I15" s="58">
        <v>330000</v>
      </c>
    </row>
    <row r="16" spans="1:9" ht="16.8" x14ac:dyDescent="0.3">
      <c r="A16" s="50">
        <v>5</v>
      </c>
      <c r="B16" s="50" t="s">
        <v>523</v>
      </c>
      <c r="C16" s="51" t="s">
        <v>527</v>
      </c>
      <c r="D16" s="51" t="s">
        <v>6</v>
      </c>
      <c r="E16" s="52"/>
      <c r="F16" s="52"/>
      <c r="G16" s="53">
        <v>400000</v>
      </c>
      <c r="H16" s="53"/>
      <c r="I16" s="58">
        <v>360000</v>
      </c>
    </row>
    <row r="17" spans="1:9" ht="16.8" x14ac:dyDescent="0.3">
      <c r="A17" s="50">
        <v>6</v>
      </c>
      <c r="B17" s="50" t="s">
        <v>533</v>
      </c>
      <c r="C17" s="51" t="s">
        <v>535</v>
      </c>
      <c r="D17" s="51" t="s">
        <v>6</v>
      </c>
      <c r="E17" s="52"/>
      <c r="F17" s="52"/>
      <c r="G17" s="53">
        <v>430000</v>
      </c>
      <c r="H17" s="53"/>
      <c r="I17" s="58">
        <v>390000</v>
      </c>
    </row>
  </sheetData>
  <mergeCells count="2">
    <mergeCell ref="A4:I4"/>
    <mergeCell ref="A11:I11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E675-95C9-0E47-B3F5-6825FFEE8A81}">
  <dimension ref="A2:H13"/>
  <sheetViews>
    <sheetView workbookViewId="0">
      <selection activeCell="L6" sqref="L6"/>
    </sheetView>
  </sheetViews>
  <sheetFormatPr defaultColWidth="8.77734375" defaultRowHeight="14.4" x14ac:dyDescent="0.3"/>
  <cols>
    <col min="2" max="2" width="39.77734375" customWidth="1"/>
    <col min="3" max="3" width="11.44140625" customWidth="1"/>
    <col min="4" max="4" width="14" hidden="1" customWidth="1"/>
    <col min="5" max="5" width="0" hidden="1" customWidth="1"/>
    <col min="6" max="6" width="20" customWidth="1"/>
    <col min="7" max="7" width="21.6640625" hidden="1" customWidth="1"/>
    <col min="8" max="8" width="14" customWidth="1"/>
  </cols>
  <sheetData>
    <row r="2" spans="1:8" ht="25.2" x14ac:dyDescent="0.45">
      <c r="B2" s="151" t="s">
        <v>557</v>
      </c>
      <c r="C2" s="151"/>
      <c r="D2" s="151"/>
      <c r="E2" s="151"/>
      <c r="F2" s="151"/>
    </row>
    <row r="3" spans="1:8" s="1" customFormat="1" ht="67.2" x14ac:dyDescent="0.3">
      <c r="A3" s="47" t="s">
        <v>0</v>
      </c>
      <c r="B3" s="47" t="s">
        <v>480</v>
      </c>
      <c r="C3" s="47" t="s">
        <v>482</v>
      </c>
      <c r="D3" s="48" t="s">
        <v>483</v>
      </c>
      <c r="E3" s="48" t="s">
        <v>484</v>
      </c>
      <c r="F3" s="48" t="s">
        <v>558</v>
      </c>
      <c r="G3" s="70" t="s">
        <v>485</v>
      </c>
      <c r="H3" s="73" t="s">
        <v>303</v>
      </c>
    </row>
    <row r="4" spans="1:8" s="1" customFormat="1" ht="16.8" x14ac:dyDescent="0.3">
      <c r="A4" s="50">
        <v>1</v>
      </c>
      <c r="B4" s="50" t="s">
        <v>559</v>
      </c>
      <c r="C4" s="51" t="s">
        <v>6</v>
      </c>
      <c r="D4" s="52"/>
      <c r="E4" s="52"/>
      <c r="F4" s="53">
        <v>180000</v>
      </c>
      <c r="G4" s="71">
        <v>230000</v>
      </c>
      <c r="H4" s="58">
        <v>150000</v>
      </c>
    </row>
    <row r="5" spans="1:8" s="1" customFormat="1" ht="16.8" x14ac:dyDescent="0.3">
      <c r="A5" s="50">
        <v>2</v>
      </c>
      <c r="B5" s="50" t="s">
        <v>560</v>
      </c>
      <c r="C5" s="51" t="s">
        <v>6</v>
      </c>
      <c r="D5" s="52"/>
      <c r="E5" s="52"/>
      <c r="F5" s="53">
        <v>220000</v>
      </c>
      <c r="G5" s="71">
        <v>260000</v>
      </c>
      <c r="H5" s="58">
        <v>180000</v>
      </c>
    </row>
    <row r="6" spans="1:8" ht="33.6" x14ac:dyDescent="0.3">
      <c r="A6" s="50">
        <v>3</v>
      </c>
      <c r="B6" s="50" t="s">
        <v>561</v>
      </c>
      <c r="C6" s="51" t="s">
        <v>6</v>
      </c>
      <c r="D6" s="52"/>
      <c r="E6" s="52"/>
      <c r="F6" s="53">
        <v>260000</v>
      </c>
      <c r="G6" s="71">
        <v>280000</v>
      </c>
      <c r="H6" s="58">
        <v>230000</v>
      </c>
    </row>
    <row r="7" spans="1:8" ht="16.8" x14ac:dyDescent="0.3">
      <c r="A7" s="50">
        <v>4</v>
      </c>
      <c r="B7" s="50" t="s">
        <v>562</v>
      </c>
      <c r="C7" s="51" t="s">
        <v>6</v>
      </c>
      <c r="D7" s="52"/>
      <c r="E7" s="52"/>
      <c r="F7" s="53">
        <v>60000</v>
      </c>
      <c r="G7" s="71"/>
      <c r="H7" s="58">
        <v>45000</v>
      </c>
    </row>
    <row r="8" spans="1:8" ht="16.8" x14ac:dyDescent="0.3">
      <c r="A8" s="50">
        <v>5</v>
      </c>
      <c r="B8" s="50" t="s">
        <v>563</v>
      </c>
      <c r="C8" s="51" t="s">
        <v>6</v>
      </c>
      <c r="D8" s="52"/>
      <c r="E8" s="52"/>
      <c r="F8" s="53">
        <v>75000</v>
      </c>
      <c r="G8" s="71">
        <v>280000</v>
      </c>
      <c r="H8" s="58">
        <v>55000</v>
      </c>
    </row>
    <row r="9" spans="1:8" ht="33.6" x14ac:dyDescent="0.3">
      <c r="A9" s="50">
        <v>6</v>
      </c>
      <c r="B9" s="50" t="s">
        <v>564</v>
      </c>
      <c r="C9" s="51" t="s">
        <v>6</v>
      </c>
      <c r="D9" s="52"/>
      <c r="E9" s="52"/>
      <c r="F9" s="53">
        <v>90000</v>
      </c>
      <c r="G9" s="71">
        <v>310000</v>
      </c>
      <c r="H9" s="58">
        <v>65000</v>
      </c>
    </row>
    <row r="10" spans="1:8" ht="16.8" x14ac:dyDescent="0.3">
      <c r="A10" s="152" t="s">
        <v>565</v>
      </c>
      <c r="B10" s="152"/>
      <c r="C10" s="152"/>
      <c r="D10" s="152"/>
      <c r="E10" s="152"/>
      <c r="F10" s="152"/>
      <c r="G10" s="56"/>
      <c r="H10" s="58"/>
    </row>
    <row r="11" spans="1:8" ht="17.399999999999999" x14ac:dyDescent="0.35">
      <c r="A11" s="152" t="s">
        <v>566</v>
      </c>
      <c r="B11" s="152"/>
      <c r="C11" s="152"/>
      <c r="D11" s="152"/>
      <c r="E11" s="152"/>
      <c r="F11" s="152"/>
      <c r="H11" s="72"/>
    </row>
    <row r="12" spans="1:8" ht="17.399999999999999" x14ac:dyDescent="0.35">
      <c r="A12" s="152" t="s">
        <v>567</v>
      </c>
      <c r="B12" s="152"/>
      <c r="C12" s="152"/>
      <c r="D12" s="152"/>
      <c r="E12" s="152"/>
      <c r="F12" s="152"/>
      <c r="H12" s="72"/>
    </row>
    <row r="13" spans="1:8" ht="17.399999999999999" x14ac:dyDescent="0.35">
      <c r="A13" s="152" t="s">
        <v>568</v>
      </c>
      <c r="B13" s="152"/>
      <c r="C13" s="152"/>
      <c r="D13" s="152"/>
      <c r="E13" s="152"/>
      <c r="F13" s="152"/>
      <c r="H13" s="72"/>
    </row>
  </sheetData>
  <mergeCells count="5">
    <mergeCell ref="B2:F2"/>
    <mergeCell ref="A10:F10"/>
    <mergeCell ref="A11:F11"/>
    <mergeCell ref="A12:F12"/>
    <mergeCell ref="A13:F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activeCell="I8" sqref="I8"/>
    </sheetView>
  </sheetViews>
  <sheetFormatPr defaultColWidth="8.77734375" defaultRowHeight="14.4" x14ac:dyDescent="0.3"/>
  <cols>
    <col min="2" max="2" width="41.33203125" customWidth="1"/>
    <col min="3" max="3" width="28.6640625" customWidth="1"/>
    <col min="4" max="4" width="17.77734375" customWidth="1"/>
    <col min="5" max="5" width="21.44140625" customWidth="1"/>
    <col min="6" max="6" width="12.6640625" style="19" bestFit="1" customWidth="1"/>
  </cols>
  <sheetData>
    <row r="1" spans="1:6" s="1" customFormat="1" ht="15.6" x14ac:dyDescent="0.3">
      <c r="A1" s="97"/>
      <c r="B1" s="98"/>
      <c r="C1" s="103" t="s">
        <v>232</v>
      </c>
      <c r="D1" s="104"/>
      <c r="E1" s="104"/>
      <c r="F1" s="16"/>
    </row>
    <row r="2" spans="1:6" s="1" customFormat="1" ht="15.6" x14ac:dyDescent="0.3">
      <c r="A2" s="99"/>
      <c r="B2" s="100"/>
      <c r="C2" s="103"/>
      <c r="D2" s="104"/>
      <c r="E2" s="104"/>
      <c r="F2" s="16"/>
    </row>
    <row r="3" spans="1:6" s="1" customFormat="1" ht="15.6" x14ac:dyDescent="0.3">
      <c r="A3" s="99"/>
      <c r="B3" s="100"/>
      <c r="C3" s="103"/>
      <c r="D3" s="104"/>
      <c r="E3" s="104"/>
      <c r="F3" s="16"/>
    </row>
    <row r="4" spans="1:6" s="1" customFormat="1" ht="15.6" x14ac:dyDescent="0.3">
      <c r="A4" s="99"/>
      <c r="B4" s="100"/>
      <c r="C4" s="103"/>
      <c r="D4" s="104"/>
      <c r="E4" s="104"/>
      <c r="F4" s="16"/>
    </row>
    <row r="5" spans="1:6" s="1" customFormat="1" ht="15.6" x14ac:dyDescent="0.3">
      <c r="A5" s="101"/>
      <c r="B5" s="102"/>
      <c r="C5" s="103"/>
      <c r="D5" s="104"/>
      <c r="E5" s="104"/>
      <c r="F5" s="16"/>
    </row>
    <row r="6" spans="1:6" s="1" customFormat="1" ht="45" customHeight="1" x14ac:dyDescent="0.3">
      <c r="A6" s="105" t="s">
        <v>233</v>
      </c>
      <c r="B6" s="106"/>
      <c r="C6" s="106"/>
      <c r="D6" s="106"/>
      <c r="E6" s="106"/>
      <c r="F6" s="16"/>
    </row>
    <row r="7" spans="1:6" s="1" customFormat="1" ht="26.25" customHeight="1" x14ac:dyDescent="0.3">
      <c r="A7" s="107" t="s">
        <v>596</v>
      </c>
      <c r="B7" s="108"/>
      <c r="C7" s="108"/>
      <c r="D7" s="108"/>
      <c r="E7" s="108"/>
      <c r="F7" s="16"/>
    </row>
    <row r="8" spans="1:6" s="1" customFormat="1" ht="15.6" x14ac:dyDescent="0.3">
      <c r="A8" s="8" t="s">
        <v>0</v>
      </c>
      <c r="B8" s="8" t="s">
        <v>1</v>
      </c>
      <c r="C8" s="8" t="s">
        <v>2</v>
      </c>
      <c r="D8" s="8" t="s">
        <v>3</v>
      </c>
      <c r="E8" s="14" t="s">
        <v>4</v>
      </c>
      <c r="F8" s="17" t="s">
        <v>297</v>
      </c>
    </row>
    <row r="9" spans="1:6" s="1" customFormat="1" ht="15.6" x14ac:dyDescent="0.3">
      <c r="A9" s="109" t="s">
        <v>292</v>
      </c>
      <c r="B9" s="110"/>
      <c r="C9" s="110"/>
      <c r="D9" s="110"/>
      <c r="E9" s="110"/>
      <c r="F9" s="18"/>
    </row>
    <row r="10" spans="1:6" s="1" customFormat="1" ht="23.25" customHeight="1" x14ac:dyDescent="0.3">
      <c r="A10" s="10">
        <v>1</v>
      </c>
      <c r="B10" s="11" t="s">
        <v>293</v>
      </c>
      <c r="C10" s="11" t="s">
        <v>295</v>
      </c>
      <c r="D10" s="10" t="s">
        <v>6</v>
      </c>
      <c r="E10" s="15">
        <v>120000</v>
      </c>
      <c r="F10" s="18">
        <v>105000</v>
      </c>
    </row>
    <row r="11" spans="1:6" s="1" customFormat="1" ht="20.25" customHeight="1" x14ac:dyDescent="0.3">
      <c r="A11" s="10">
        <v>2</v>
      </c>
      <c r="B11" s="11" t="s">
        <v>294</v>
      </c>
      <c r="C11" s="11" t="s">
        <v>296</v>
      </c>
      <c r="D11" s="10" t="s">
        <v>6</v>
      </c>
      <c r="E11" s="15">
        <v>130000</v>
      </c>
      <c r="F11" s="18">
        <v>110000</v>
      </c>
    </row>
    <row r="12" spans="1:6" s="1" customFormat="1" ht="20.25" customHeight="1" x14ac:dyDescent="0.3">
      <c r="A12" s="10">
        <v>3</v>
      </c>
      <c r="B12" s="11"/>
      <c r="C12" s="11"/>
      <c r="D12" s="10"/>
      <c r="E12" s="15"/>
      <c r="F12" s="18"/>
    </row>
    <row r="13" spans="1:6" x14ac:dyDescent="0.3">
      <c r="B13" t="s">
        <v>298</v>
      </c>
    </row>
    <row r="14" spans="1:6" x14ac:dyDescent="0.3">
      <c r="B14" t="s">
        <v>299</v>
      </c>
    </row>
  </sheetData>
  <mergeCells count="5">
    <mergeCell ref="A1:B5"/>
    <mergeCell ref="C1:E5"/>
    <mergeCell ref="A6:E6"/>
    <mergeCell ref="A7:E7"/>
    <mergeCell ref="A9:E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24"/>
  <sheetViews>
    <sheetView topLeftCell="A6" workbookViewId="0">
      <selection activeCell="I18" sqref="I18"/>
    </sheetView>
  </sheetViews>
  <sheetFormatPr defaultColWidth="8.77734375" defaultRowHeight="14.4" x14ac:dyDescent="0.3"/>
  <cols>
    <col min="2" max="2" width="40.44140625" customWidth="1"/>
    <col min="3" max="3" width="15.44140625" customWidth="1"/>
    <col min="5" max="5" width="19.44140625" customWidth="1"/>
    <col min="6" max="6" width="23.33203125" customWidth="1"/>
  </cols>
  <sheetData>
    <row r="3" spans="1:6" s="21" customFormat="1" ht="22.5" customHeight="1" x14ac:dyDescent="0.3">
      <c r="A3" s="20" t="s">
        <v>0</v>
      </c>
      <c r="B3" s="20" t="s">
        <v>300</v>
      </c>
      <c r="C3" s="20" t="s">
        <v>301</v>
      </c>
      <c r="D3" s="20" t="s">
        <v>3</v>
      </c>
      <c r="E3" s="20" t="s">
        <v>302</v>
      </c>
      <c r="F3" s="20" t="s">
        <v>303</v>
      </c>
    </row>
    <row r="4" spans="1:6" ht="18" x14ac:dyDescent="0.3">
      <c r="A4" s="153"/>
      <c r="B4" s="154"/>
      <c r="C4" s="154"/>
      <c r="D4" s="154"/>
      <c r="E4" s="154"/>
      <c r="F4" s="154"/>
    </row>
    <row r="5" spans="1:6" ht="33.6" x14ac:dyDescent="0.3">
      <c r="A5" s="22">
        <v>1</v>
      </c>
      <c r="B5" s="23" t="s">
        <v>304</v>
      </c>
      <c r="C5" s="23" t="s">
        <v>305</v>
      </c>
      <c r="D5" s="22" t="s">
        <v>291</v>
      </c>
      <c r="E5" s="24">
        <v>130000</v>
      </c>
      <c r="F5" s="25">
        <v>90000</v>
      </c>
    </row>
    <row r="6" spans="1:6" ht="33.6" x14ac:dyDescent="0.3">
      <c r="A6" s="22">
        <v>2</v>
      </c>
      <c r="B6" s="23" t="s">
        <v>306</v>
      </c>
      <c r="C6" s="23" t="s">
        <v>307</v>
      </c>
      <c r="D6" s="22" t="s">
        <v>291</v>
      </c>
      <c r="E6" s="24">
        <v>329000</v>
      </c>
      <c r="F6" s="25">
        <v>210000</v>
      </c>
    </row>
    <row r="7" spans="1:6" ht="33.6" x14ac:dyDescent="0.3">
      <c r="A7" s="22">
        <v>3</v>
      </c>
      <c r="B7" s="23" t="s">
        <v>308</v>
      </c>
      <c r="C7" s="23" t="s">
        <v>309</v>
      </c>
      <c r="D7" s="22" t="s">
        <v>291</v>
      </c>
      <c r="E7" s="24">
        <v>359000</v>
      </c>
      <c r="F7" s="25">
        <v>230000</v>
      </c>
    </row>
    <row r="8" spans="1:6" ht="33.6" x14ac:dyDescent="0.3">
      <c r="A8" s="26">
        <v>1</v>
      </c>
      <c r="B8" s="27" t="s">
        <v>310</v>
      </c>
      <c r="C8" s="27" t="s">
        <v>311</v>
      </c>
      <c r="D8" s="26" t="s">
        <v>291</v>
      </c>
      <c r="E8" s="28">
        <v>160000</v>
      </c>
      <c r="F8" s="29">
        <v>120000</v>
      </c>
    </row>
    <row r="9" spans="1:6" ht="33.6" x14ac:dyDescent="0.3">
      <c r="A9" s="26">
        <v>2</v>
      </c>
      <c r="B9" s="27" t="s">
        <v>312</v>
      </c>
      <c r="C9" s="27" t="s">
        <v>313</v>
      </c>
      <c r="D9" s="26" t="s">
        <v>291</v>
      </c>
      <c r="E9" s="28">
        <v>359000</v>
      </c>
      <c r="F9" s="29">
        <v>240000</v>
      </c>
    </row>
    <row r="10" spans="1:6" ht="33.6" x14ac:dyDescent="0.3">
      <c r="A10" s="26">
        <v>3</v>
      </c>
      <c r="B10" s="27" t="s">
        <v>314</v>
      </c>
      <c r="C10" s="27" t="s">
        <v>315</v>
      </c>
      <c r="D10" s="26" t="s">
        <v>291</v>
      </c>
      <c r="E10" s="28">
        <v>389000</v>
      </c>
      <c r="F10" s="29">
        <v>260000</v>
      </c>
    </row>
    <row r="11" spans="1:6" ht="16.8" x14ac:dyDescent="0.3">
      <c r="A11" s="30">
        <v>7</v>
      </c>
      <c r="B11" s="31" t="s">
        <v>316</v>
      </c>
      <c r="C11" s="31" t="s">
        <v>317</v>
      </c>
      <c r="D11" s="30" t="s">
        <v>6</v>
      </c>
      <c r="E11" s="32">
        <v>140000</v>
      </c>
      <c r="F11" s="33">
        <v>87000</v>
      </c>
    </row>
    <row r="12" spans="1:6" ht="16.8" x14ac:dyDescent="0.3">
      <c r="A12" s="30">
        <v>8</v>
      </c>
      <c r="B12" s="31" t="s">
        <v>318</v>
      </c>
      <c r="C12" s="31" t="s">
        <v>319</v>
      </c>
      <c r="D12" s="30" t="s">
        <v>6</v>
      </c>
      <c r="E12" s="32">
        <v>150000</v>
      </c>
      <c r="F12" s="33">
        <v>92000</v>
      </c>
    </row>
    <row r="13" spans="1:6" ht="16.8" x14ac:dyDescent="0.3">
      <c r="A13" s="30">
        <v>9</v>
      </c>
      <c r="B13" s="31" t="s">
        <v>320</v>
      </c>
      <c r="C13" s="31" t="s">
        <v>321</v>
      </c>
      <c r="D13" s="30" t="s">
        <v>6</v>
      </c>
      <c r="E13" s="32">
        <v>160000</v>
      </c>
      <c r="F13" s="33">
        <v>97000</v>
      </c>
    </row>
    <row r="14" spans="1:6" ht="16.8" x14ac:dyDescent="0.3">
      <c r="A14" s="30">
        <v>10</v>
      </c>
      <c r="B14" s="31" t="s">
        <v>322</v>
      </c>
      <c r="C14" s="31" t="s">
        <v>323</v>
      </c>
      <c r="D14" s="30" t="s">
        <v>6</v>
      </c>
      <c r="E14" s="32">
        <v>170000</v>
      </c>
      <c r="F14" s="33">
        <v>107000</v>
      </c>
    </row>
    <row r="15" spans="1:6" ht="16.8" x14ac:dyDescent="0.3">
      <c r="A15" s="30">
        <v>11</v>
      </c>
      <c r="B15" s="31" t="s">
        <v>324</v>
      </c>
      <c r="C15" s="31" t="s">
        <v>325</v>
      </c>
      <c r="D15" s="30" t="s">
        <v>6</v>
      </c>
      <c r="E15" s="32">
        <v>180000</v>
      </c>
      <c r="F15" s="33">
        <v>117000</v>
      </c>
    </row>
    <row r="16" spans="1:6" ht="16.8" x14ac:dyDescent="0.3">
      <c r="A16" s="30">
        <v>12</v>
      </c>
      <c r="B16" s="31" t="s">
        <v>326</v>
      </c>
      <c r="C16" s="31" t="s">
        <v>327</v>
      </c>
      <c r="D16" s="30" t="s">
        <v>6</v>
      </c>
      <c r="E16" s="32">
        <v>220000</v>
      </c>
      <c r="F16" s="33">
        <v>147000</v>
      </c>
    </row>
    <row r="17" spans="1:6" s="38" customFormat="1" ht="16.8" x14ac:dyDescent="0.3">
      <c r="A17" s="34"/>
      <c r="B17" s="35"/>
      <c r="C17" s="35"/>
      <c r="D17" s="34"/>
      <c r="E17" s="36"/>
      <c r="F17" s="37"/>
    </row>
    <row r="18" spans="1:6" ht="16.8" x14ac:dyDescent="0.3">
      <c r="A18" s="39">
        <v>13</v>
      </c>
      <c r="B18" s="40" t="s">
        <v>328</v>
      </c>
      <c r="C18" s="40"/>
      <c r="D18" s="39" t="s">
        <v>6</v>
      </c>
      <c r="E18" s="41">
        <v>80000</v>
      </c>
      <c r="F18" s="42">
        <v>60000</v>
      </c>
    </row>
    <row r="19" spans="1:6" ht="16.8" x14ac:dyDescent="0.3">
      <c r="A19" s="39">
        <v>14</v>
      </c>
      <c r="B19" s="40" t="s">
        <v>329</v>
      </c>
      <c r="C19" s="40"/>
      <c r="D19" s="39" t="s">
        <v>6</v>
      </c>
      <c r="E19" s="41">
        <v>110000</v>
      </c>
      <c r="F19" s="42">
        <v>90000</v>
      </c>
    </row>
    <row r="20" spans="1:6" ht="16.8" x14ac:dyDescent="0.3">
      <c r="A20" s="39">
        <v>15</v>
      </c>
      <c r="B20" s="40" t="s">
        <v>330</v>
      </c>
      <c r="C20" s="40"/>
      <c r="D20" s="39" t="s">
        <v>6</v>
      </c>
      <c r="E20" s="41">
        <v>25000</v>
      </c>
      <c r="F20" s="42">
        <v>15000</v>
      </c>
    </row>
    <row r="21" spans="1:6" ht="16.8" x14ac:dyDescent="0.3">
      <c r="A21" s="39">
        <v>16</v>
      </c>
      <c r="B21" s="40" t="s">
        <v>331</v>
      </c>
      <c r="C21" s="40"/>
      <c r="D21" s="39" t="s">
        <v>332</v>
      </c>
      <c r="E21" s="41">
        <v>30000</v>
      </c>
      <c r="F21" s="42">
        <v>20000</v>
      </c>
    </row>
    <row r="22" spans="1:6" x14ac:dyDescent="0.3">
      <c r="A22" s="155" t="s">
        <v>333</v>
      </c>
      <c r="B22" s="155"/>
      <c r="C22" s="155"/>
      <c r="D22" s="155"/>
      <c r="E22" s="155"/>
      <c r="F22" s="155"/>
    </row>
    <row r="23" spans="1:6" x14ac:dyDescent="0.3">
      <c r="A23" s="155"/>
      <c r="B23" s="155"/>
      <c r="C23" s="155"/>
      <c r="D23" s="155"/>
      <c r="E23" s="155"/>
      <c r="F23" s="155"/>
    </row>
    <row r="24" spans="1:6" x14ac:dyDescent="0.3">
      <c r="A24" s="155"/>
      <c r="B24" s="155"/>
      <c r="C24" s="155"/>
      <c r="D24" s="155"/>
      <c r="E24" s="155"/>
      <c r="F24" s="155"/>
    </row>
  </sheetData>
  <mergeCells count="4">
    <mergeCell ref="A4:F4"/>
    <mergeCell ref="A22:F22"/>
    <mergeCell ref="A23:F23"/>
    <mergeCell ref="A24:F24"/>
  </mergeCells>
  <conditionalFormatting sqref="C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T200</vt:lpstr>
      <vt:lpstr>T250</vt:lpstr>
      <vt:lpstr>T300</vt:lpstr>
      <vt:lpstr>T350</vt:lpstr>
      <vt:lpstr>Phụ kiện KS</vt:lpstr>
      <vt:lpstr>Tấm trải</vt:lpstr>
      <vt:lpstr>Ga tròn</vt:lpstr>
      <vt:lpstr>Tấm trang trí</vt:lpstr>
      <vt:lpstr>Bình dầu gội</vt:lpstr>
      <vt:lpstr>Tici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Vinz Jones</cp:lastModifiedBy>
  <dcterms:created xsi:type="dcterms:W3CDTF">2022-04-06T08:48:22Z</dcterms:created>
  <dcterms:modified xsi:type="dcterms:W3CDTF">2025-10-16T03:51:18Z</dcterms:modified>
</cp:coreProperties>
</file>